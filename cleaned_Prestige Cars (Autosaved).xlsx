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6.xml" ContentType="application/vnd.openxmlformats-officedocument.drawing+xml"/>
  <Override PartName="/xl/slicers/slicer2.xml" ContentType="application/vnd.ms-excel.slicer+xml"/>
  <Override PartName="/xl/timelines/timeline2.xml" ContentType="application/vnd.ms-excel.timelin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hp\OneDrive\Desktop\"/>
    </mc:Choice>
  </mc:AlternateContent>
  <bookViews>
    <workbookView xWindow="0" yWindow="0" windowWidth="17256" windowHeight="5688" firstSheet="2" activeTab="7"/>
  </bookViews>
  <sheets>
    <sheet name="total sale by date" sheetId="2" r:id="rId1"/>
    <sheet name="region by sales" sheetId="3" r:id="rId2"/>
    <sheet name="top 5 by profit" sheetId="4" r:id="rId3"/>
    <sheet name="profit by country" sheetId="6" r:id="rId4"/>
    <sheet name="top 5by cost" sheetId="7" r:id="rId5"/>
    <sheet name="DASHBOARD" sheetId="8" r:id="rId6"/>
    <sheet name="Sheet9" sheetId="9" r:id="rId7"/>
    <sheet name="Sheet3" sheetId="11" r:id="rId8"/>
    <sheet name="Sheet1" sheetId="1" r:id="rId9"/>
  </sheets>
  <definedNames>
    <definedName name="NativeTimeline_SaleDate">#N/A</definedName>
    <definedName name="Slicer_Country.SalesRegion">#N/A</definedName>
    <definedName name="Slicer_CountryName">#N/A</definedName>
    <definedName name="Slicer_MakeName">#N/A</definedName>
    <definedName name="Slicer_Stock.Color">#N/A</definedName>
  </definedNames>
  <calcPr calcId="162913"/>
  <pivotCaches>
    <pivotCache cacheId="9" r:id="rId10"/>
  </pivotCaches>
  <extLst>
    <ext xmlns:x14="http://schemas.microsoft.com/office/spreadsheetml/2009/9/main" uri="{BBE1A952-AA13-448e-AADC-164F8A28A991}">
      <x14:slicerCaches>
        <x14:slicerCache r:id="rId11"/>
        <x14:slicerCache r:id="rId12"/>
        <x14:slicerCache r:id="rId13"/>
        <x14:slicerCache r:id="rId14"/>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5"/>
      </x15:timelineCacheRefs>
    </ext>
  </extLst>
</workbook>
</file>

<file path=xl/calcChain.xml><?xml version="1.0" encoding="utf-8"?>
<calcChain xmlns="http://schemas.openxmlformats.org/spreadsheetml/2006/main">
  <c r="AF2" i="1" l="1"/>
  <c r="AF3" i="1"/>
  <c r="AF4" i="1"/>
  <c r="AF5" i="1"/>
  <c r="AF6" i="1"/>
  <c r="AF7" i="1"/>
  <c r="AF8" i="1"/>
  <c r="AF9" i="1"/>
  <c r="AF10" i="1"/>
  <c r="AF11" i="1"/>
  <c r="AF12" i="1"/>
  <c r="AF13" i="1"/>
  <c r="AF14" i="1"/>
  <c r="AF15" i="1"/>
  <c r="AF16" i="1"/>
  <c r="AF17" i="1"/>
  <c r="AF18" i="1"/>
  <c r="AF19" i="1"/>
  <c r="AF20" i="1"/>
  <c r="AF21" i="1"/>
  <c r="AF22" i="1"/>
  <c r="AF23" i="1"/>
  <c r="AF24" i="1"/>
  <c r="AF25" i="1"/>
  <c r="AF26" i="1"/>
  <c r="AF27" i="1"/>
  <c r="AF28" i="1"/>
  <c r="AF29" i="1"/>
  <c r="AF30" i="1"/>
  <c r="AF31" i="1"/>
  <c r="AF32" i="1"/>
  <c r="AF33" i="1"/>
  <c r="AF34" i="1"/>
  <c r="AF35" i="1"/>
  <c r="AF36" i="1"/>
  <c r="AF37" i="1"/>
  <c r="AF38" i="1"/>
  <c r="AF39" i="1"/>
  <c r="AF40" i="1"/>
  <c r="AF41" i="1"/>
  <c r="AF42" i="1"/>
  <c r="AF43" i="1"/>
  <c r="AF44" i="1"/>
  <c r="AF45" i="1"/>
  <c r="AF46" i="1"/>
  <c r="AF47" i="1"/>
  <c r="AF48" i="1"/>
  <c r="AF49" i="1"/>
  <c r="AF50" i="1"/>
  <c r="AF51" i="1"/>
  <c r="AF52" i="1"/>
  <c r="AF53" i="1"/>
  <c r="AF54" i="1"/>
  <c r="AF55" i="1"/>
  <c r="AF56" i="1"/>
  <c r="AF57" i="1"/>
  <c r="AF58" i="1"/>
  <c r="AF59" i="1"/>
  <c r="AF60" i="1"/>
  <c r="AF61" i="1"/>
  <c r="AF62" i="1"/>
  <c r="AF63" i="1"/>
  <c r="AF64" i="1"/>
  <c r="AF65" i="1"/>
  <c r="AF66" i="1"/>
  <c r="AF67" i="1"/>
  <c r="AF68" i="1"/>
  <c r="AF69" i="1"/>
  <c r="AF70" i="1"/>
  <c r="AF71" i="1"/>
  <c r="AF72" i="1"/>
  <c r="AF73" i="1"/>
  <c r="AF74" i="1"/>
  <c r="AF75" i="1"/>
  <c r="AF76" i="1"/>
  <c r="AF77" i="1"/>
  <c r="AF78" i="1"/>
  <c r="AF79" i="1"/>
  <c r="AF80" i="1"/>
  <c r="AF81" i="1"/>
  <c r="AF82" i="1"/>
  <c r="AF83" i="1"/>
  <c r="AF84" i="1"/>
  <c r="AF85" i="1"/>
  <c r="AF86" i="1"/>
  <c r="AF87" i="1"/>
  <c r="AF88" i="1"/>
  <c r="AF89" i="1"/>
  <c r="AF90" i="1"/>
  <c r="AF91" i="1"/>
  <c r="AF92" i="1"/>
  <c r="AF93" i="1"/>
  <c r="AF94" i="1"/>
  <c r="AF95" i="1"/>
  <c r="AF96" i="1"/>
  <c r="AF97" i="1"/>
  <c r="AF98" i="1"/>
  <c r="AF99" i="1"/>
  <c r="AF100" i="1"/>
  <c r="AF101" i="1"/>
  <c r="AF102" i="1"/>
  <c r="AF103" i="1"/>
  <c r="AF104" i="1"/>
  <c r="AF105" i="1"/>
  <c r="AF106" i="1"/>
  <c r="AF107" i="1"/>
  <c r="AF108" i="1"/>
  <c r="AF109" i="1"/>
  <c r="AF110" i="1"/>
  <c r="AF111" i="1"/>
  <c r="AF112" i="1"/>
  <c r="AF113" i="1"/>
  <c r="AF114" i="1"/>
  <c r="AF115" i="1"/>
  <c r="AF116" i="1"/>
  <c r="AF117" i="1"/>
  <c r="AF118" i="1"/>
  <c r="AF119" i="1"/>
  <c r="AF120" i="1"/>
  <c r="AF121" i="1"/>
  <c r="AF122" i="1"/>
  <c r="AF123" i="1"/>
  <c r="AF124" i="1"/>
  <c r="AF125" i="1"/>
  <c r="AF126" i="1"/>
  <c r="AF127" i="1"/>
  <c r="AF128" i="1"/>
  <c r="AF129" i="1"/>
  <c r="AF130" i="1"/>
  <c r="AF131" i="1"/>
  <c r="AF132" i="1"/>
  <c r="AF133" i="1"/>
  <c r="AF134" i="1"/>
  <c r="AF135" i="1"/>
  <c r="AF136" i="1"/>
  <c r="AF137" i="1"/>
  <c r="AF138" i="1"/>
  <c r="AF139" i="1"/>
  <c r="AF140" i="1"/>
  <c r="AF141" i="1"/>
  <c r="AF142" i="1"/>
  <c r="AF143" i="1"/>
  <c r="AF144" i="1"/>
  <c r="AF145" i="1"/>
  <c r="AF146" i="1"/>
  <c r="AF147" i="1"/>
  <c r="AF148" i="1"/>
  <c r="AF149" i="1"/>
  <c r="AF150" i="1"/>
  <c r="AF151" i="1"/>
  <c r="AF152" i="1"/>
  <c r="AF153" i="1"/>
  <c r="AF154" i="1"/>
  <c r="AF155" i="1"/>
  <c r="AF156" i="1"/>
  <c r="AF157" i="1"/>
  <c r="AF158" i="1"/>
  <c r="AF159" i="1"/>
  <c r="AF160" i="1"/>
  <c r="AF161" i="1"/>
  <c r="AF162" i="1"/>
  <c r="AF163" i="1"/>
  <c r="AF164" i="1"/>
  <c r="AF165" i="1"/>
  <c r="AF166" i="1"/>
  <c r="AF167" i="1"/>
  <c r="AF168" i="1"/>
  <c r="AF169" i="1"/>
  <c r="AF170" i="1"/>
  <c r="AF171" i="1"/>
  <c r="AF172" i="1"/>
  <c r="AF173" i="1"/>
  <c r="AF174" i="1"/>
  <c r="AF175" i="1"/>
  <c r="AF176" i="1"/>
  <c r="AF177" i="1"/>
  <c r="AF178" i="1"/>
  <c r="AF179" i="1"/>
  <c r="AF180" i="1"/>
  <c r="AF181" i="1"/>
  <c r="AF182" i="1"/>
  <c r="AF183" i="1"/>
  <c r="AF184" i="1"/>
  <c r="AF185" i="1"/>
  <c r="AF186" i="1"/>
  <c r="AF187" i="1"/>
  <c r="AF188" i="1"/>
  <c r="AF189" i="1"/>
  <c r="AF190" i="1"/>
  <c r="AF191" i="1"/>
  <c r="AF192" i="1"/>
  <c r="AF193" i="1"/>
  <c r="AF194" i="1"/>
  <c r="AF195" i="1"/>
  <c r="AF196" i="1"/>
  <c r="AF197" i="1"/>
  <c r="AF198" i="1"/>
  <c r="AF199" i="1"/>
  <c r="AF200" i="1"/>
  <c r="AF201" i="1"/>
  <c r="AF202" i="1"/>
  <c r="AF203" i="1"/>
  <c r="AF204" i="1"/>
  <c r="AF205" i="1"/>
  <c r="AF206" i="1"/>
  <c r="AF207" i="1"/>
  <c r="AF208" i="1"/>
  <c r="AF209" i="1"/>
  <c r="AF210" i="1"/>
  <c r="AF211" i="1"/>
  <c r="AF212" i="1"/>
  <c r="AF213" i="1"/>
  <c r="AF214" i="1"/>
  <c r="AF215" i="1"/>
  <c r="AF216" i="1"/>
  <c r="AF217" i="1"/>
  <c r="AF218" i="1"/>
  <c r="AF219" i="1"/>
  <c r="AF220" i="1"/>
  <c r="AF221" i="1"/>
  <c r="AF222" i="1"/>
  <c r="AF223" i="1"/>
  <c r="AF224" i="1"/>
  <c r="AF225" i="1"/>
  <c r="AF226" i="1"/>
  <c r="AF227" i="1"/>
  <c r="AF228" i="1"/>
  <c r="AF229" i="1"/>
  <c r="AF230" i="1"/>
  <c r="AF231" i="1"/>
  <c r="AF232" i="1"/>
  <c r="AF233" i="1"/>
  <c r="AF234" i="1"/>
  <c r="AF235" i="1"/>
  <c r="AF236" i="1"/>
  <c r="AF237" i="1"/>
  <c r="AF238" i="1"/>
  <c r="AF239" i="1"/>
  <c r="AF240" i="1"/>
  <c r="AF241" i="1"/>
  <c r="AF242" i="1"/>
  <c r="AF243" i="1"/>
  <c r="AF244" i="1"/>
  <c r="AF245" i="1"/>
  <c r="AF246" i="1"/>
  <c r="AF247" i="1"/>
  <c r="AF248" i="1"/>
  <c r="AF249" i="1"/>
  <c r="AF250" i="1"/>
  <c r="AF251" i="1"/>
  <c r="AF252" i="1"/>
  <c r="AF253" i="1"/>
  <c r="AF254" i="1"/>
  <c r="AF255" i="1"/>
  <c r="AF256" i="1"/>
  <c r="AF257" i="1"/>
  <c r="AF258" i="1"/>
  <c r="AF259" i="1"/>
  <c r="AF260" i="1"/>
  <c r="AF261" i="1"/>
  <c r="AF262" i="1"/>
  <c r="AF263" i="1"/>
  <c r="AF264" i="1"/>
  <c r="AF265" i="1"/>
  <c r="AF266" i="1"/>
  <c r="AF267" i="1"/>
  <c r="AF268" i="1"/>
  <c r="AF269" i="1"/>
  <c r="AF270" i="1"/>
  <c r="AF271" i="1"/>
  <c r="AF272" i="1"/>
  <c r="AF273" i="1"/>
  <c r="AF274" i="1"/>
  <c r="AF275" i="1"/>
  <c r="AF276" i="1"/>
  <c r="AF277" i="1"/>
  <c r="AF278" i="1"/>
  <c r="AF279" i="1"/>
  <c r="AF280" i="1"/>
  <c r="AF281" i="1"/>
  <c r="AF282" i="1"/>
  <c r="AF283" i="1"/>
  <c r="AF284" i="1"/>
  <c r="AF285" i="1"/>
  <c r="AF286" i="1"/>
  <c r="AF287" i="1"/>
  <c r="AF288" i="1"/>
  <c r="AF289" i="1"/>
  <c r="AF290" i="1"/>
  <c r="AF291" i="1"/>
  <c r="AF292" i="1"/>
  <c r="AF293" i="1"/>
  <c r="AF294" i="1"/>
  <c r="AF295" i="1"/>
  <c r="AF296" i="1"/>
  <c r="AF297" i="1"/>
  <c r="AF298" i="1"/>
  <c r="AF299" i="1"/>
  <c r="AF300" i="1"/>
  <c r="AF301" i="1"/>
  <c r="AF302" i="1"/>
  <c r="AF303" i="1"/>
  <c r="AF304" i="1"/>
  <c r="AF305" i="1"/>
  <c r="AF306" i="1"/>
  <c r="AF307" i="1"/>
  <c r="AF308" i="1"/>
  <c r="AF309" i="1"/>
  <c r="AF310" i="1"/>
  <c r="AF311" i="1"/>
  <c r="AF312" i="1"/>
  <c r="AF313" i="1"/>
  <c r="AF314" i="1"/>
  <c r="AF315" i="1"/>
  <c r="AF316" i="1"/>
  <c r="AF317" i="1"/>
  <c r="AF318" i="1"/>
  <c r="AF319" i="1"/>
  <c r="AF320" i="1"/>
  <c r="AF321" i="1"/>
  <c r="AF322" i="1"/>
  <c r="AF323" i="1"/>
  <c r="AF324" i="1"/>
  <c r="AF325" i="1"/>
  <c r="AF326" i="1"/>
  <c r="AF327" i="1"/>
  <c r="AF328" i="1"/>
  <c r="AF329" i="1"/>
  <c r="AF330" i="1"/>
  <c r="AF331" i="1"/>
  <c r="AF332" i="1"/>
  <c r="AF333" i="1"/>
  <c r="AF334" i="1"/>
  <c r="AF335" i="1"/>
  <c r="AF336" i="1"/>
  <c r="AF337" i="1"/>
  <c r="AF338" i="1"/>
  <c r="AF339" i="1"/>
  <c r="AF340" i="1"/>
  <c r="AF341" i="1"/>
  <c r="AF342" i="1"/>
  <c r="AF343" i="1"/>
  <c r="AF344" i="1"/>
  <c r="AF345" i="1"/>
  <c r="AF346" i="1"/>
  <c r="AF347" i="1"/>
  <c r="AF348" i="1"/>
  <c r="AF349" i="1"/>
  <c r="AF350" i="1"/>
  <c r="AF351" i="1"/>
  <c r="AF352" i="1"/>
  <c r="AJ14" i="8" l="1"/>
  <c r="AE3" i="1"/>
  <c r="AE4" i="1"/>
  <c r="AE5" i="1"/>
  <c r="AE6" i="1"/>
  <c r="AE7" i="1"/>
  <c r="AE8" i="1"/>
  <c r="AE9" i="1"/>
  <c r="AE10" i="1"/>
  <c r="AE11" i="1"/>
  <c r="AE12" i="1"/>
  <c r="AE13" i="1"/>
  <c r="AE14" i="1"/>
  <c r="AE15" i="1"/>
  <c r="AE16" i="1"/>
  <c r="AE17" i="1"/>
  <c r="AE18" i="1"/>
  <c r="AE19" i="1"/>
  <c r="AE20" i="1"/>
  <c r="AE21" i="1"/>
  <c r="AE22" i="1"/>
  <c r="AE23" i="1"/>
  <c r="AE24" i="1"/>
  <c r="AE25" i="1"/>
  <c r="AE26" i="1"/>
  <c r="AE27" i="1"/>
  <c r="AE28" i="1"/>
  <c r="AE29" i="1"/>
  <c r="AE30" i="1"/>
  <c r="AE31" i="1"/>
  <c r="AE32" i="1"/>
  <c r="AE33" i="1"/>
  <c r="AE34" i="1"/>
  <c r="AE35" i="1"/>
  <c r="AE36" i="1"/>
  <c r="AE37" i="1"/>
  <c r="AE38" i="1"/>
  <c r="AE39" i="1"/>
  <c r="AE40" i="1"/>
  <c r="AE41" i="1"/>
  <c r="AE42" i="1"/>
  <c r="AE43" i="1"/>
  <c r="AE44" i="1"/>
  <c r="AE45" i="1"/>
  <c r="AE46" i="1"/>
  <c r="AE47" i="1"/>
  <c r="AE48" i="1"/>
  <c r="AE49" i="1"/>
  <c r="AE50" i="1"/>
  <c r="AE51" i="1"/>
  <c r="AE52" i="1"/>
  <c r="AE53" i="1"/>
  <c r="AE54" i="1"/>
  <c r="AE55" i="1"/>
  <c r="AE56" i="1"/>
  <c r="AE57" i="1"/>
  <c r="AE58" i="1"/>
  <c r="AE59" i="1"/>
  <c r="AE60" i="1"/>
  <c r="AE61" i="1"/>
  <c r="AE62" i="1"/>
  <c r="AE63" i="1"/>
  <c r="AE64" i="1"/>
  <c r="AE65" i="1"/>
  <c r="AE66" i="1"/>
  <c r="AE67" i="1"/>
  <c r="AE68" i="1"/>
  <c r="AE69" i="1"/>
  <c r="AE70" i="1"/>
  <c r="AE71" i="1"/>
  <c r="AE72" i="1"/>
  <c r="AE73" i="1"/>
  <c r="AE74" i="1"/>
  <c r="AE75" i="1"/>
  <c r="AE76" i="1"/>
  <c r="AE77" i="1"/>
  <c r="AE78" i="1"/>
  <c r="AE79" i="1"/>
  <c r="AE80" i="1"/>
  <c r="AE81" i="1"/>
  <c r="AE82" i="1"/>
  <c r="AE83" i="1"/>
  <c r="AE84" i="1"/>
  <c r="AE85" i="1"/>
  <c r="AE86" i="1"/>
  <c r="AE87" i="1"/>
  <c r="AE88" i="1"/>
  <c r="AE89" i="1"/>
  <c r="AE90" i="1"/>
  <c r="AE91" i="1"/>
  <c r="AE92" i="1"/>
  <c r="AE93" i="1"/>
  <c r="AE94" i="1"/>
  <c r="AE95" i="1"/>
  <c r="AE96" i="1"/>
  <c r="AE97" i="1"/>
  <c r="AE98" i="1"/>
  <c r="AE99" i="1"/>
  <c r="AE100" i="1"/>
  <c r="AE101" i="1"/>
  <c r="AE102" i="1"/>
  <c r="AE103" i="1"/>
  <c r="AE104" i="1"/>
  <c r="AE105" i="1"/>
  <c r="AE106" i="1"/>
  <c r="AE107" i="1"/>
  <c r="AE108" i="1"/>
  <c r="AE109" i="1"/>
  <c r="AE110" i="1"/>
  <c r="AE111" i="1"/>
  <c r="AE112" i="1"/>
  <c r="AE113" i="1"/>
  <c r="AE114" i="1"/>
  <c r="AE115" i="1"/>
  <c r="AE116" i="1"/>
  <c r="AE117" i="1"/>
  <c r="AE118" i="1"/>
  <c r="AE119" i="1"/>
  <c r="AE120" i="1"/>
  <c r="AE121" i="1"/>
  <c r="AE122" i="1"/>
  <c r="AE123" i="1"/>
  <c r="AE124" i="1"/>
  <c r="AE125" i="1"/>
  <c r="AE126" i="1"/>
  <c r="AE127" i="1"/>
  <c r="AE128" i="1"/>
  <c r="AE129" i="1"/>
  <c r="AE130" i="1"/>
  <c r="AE131" i="1"/>
  <c r="AE132" i="1"/>
  <c r="AE133" i="1"/>
  <c r="AE134" i="1"/>
  <c r="AE135" i="1"/>
  <c r="AE136" i="1"/>
  <c r="AE137" i="1"/>
  <c r="AE138" i="1"/>
  <c r="AE139" i="1"/>
  <c r="AE140" i="1"/>
  <c r="AE141" i="1"/>
  <c r="AE142" i="1"/>
  <c r="AE143" i="1"/>
  <c r="AE144" i="1"/>
  <c r="AE145" i="1"/>
  <c r="AE146" i="1"/>
  <c r="AE147" i="1"/>
  <c r="AE148" i="1"/>
  <c r="AE149" i="1"/>
  <c r="AE150" i="1"/>
  <c r="AE151" i="1"/>
  <c r="AE152" i="1"/>
  <c r="AE153" i="1"/>
  <c r="AE154" i="1"/>
  <c r="AE155" i="1"/>
  <c r="AE156" i="1"/>
  <c r="AE157" i="1"/>
  <c r="AE158" i="1"/>
  <c r="AE159" i="1"/>
  <c r="AE160" i="1"/>
  <c r="AE161" i="1"/>
  <c r="AE162" i="1"/>
  <c r="AE163" i="1"/>
  <c r="AE164" i="1"/>
  <c r="AE165" i="1"/>
  <c r="AE166" i="1"/>
  <c r="AE167" i="1"/>
  <c r="AE168" i="1"/>
  <c r="AE169" i="1"/>
  <c r="AE170" i="1"/>
  <c r="AE171" i="1"/>
  <c r="AE172" i="1"/>
  <c r="AE173" i="1"/>
  <c r="AE174" i="1"/>
  <c r="AE175" i="1"/>
  <c r="AE176" i="1"/>
  <c r="AE177" i="1"/>
  <c r="AE178" i="1"/>
  <c r="AE179" i="1"/>
  <c r="AE180" i="1"/>
  <c r="AE181" i="1"/>
  <c r="AE182" i="1"/>
  <c r="AE183" i="1"/>
  <c r="AE184" i="1"/>
  <c r="AE185" i="1"/>
  <c r="AE186" i="1"/>
  <c r="AE187" i="1"/>
  <c r="AE188" i="1"/>
  <c r="AE189" i="1"/>
  <c r="AE190" i="1"/>
  <c r="AE191" i="1"/>
  <c r="AE192" i="1"/>
  <c r="AE193" i="1"/>
  <c r="AE194" i="1"/>
  <c r="AE195" i="1"/>
  <c r="AE196" i="1"/>
  <c r="AE197" i="1"/>
  <c r="AE198" i="1"/>
  <c r="AE199" i="1"/>
  <c r="AE200" i="1"/>
  <c r="AE201" i="1"/>
  <c r="AE202" i="1"/>
  <c r="AE203" i="1"/>
  <c r="AE204" i="1"/>
  <c r="AE205" i="1"/>
  <c r="AE206" i="1"/>
  <c r="AE207" i="1"/>
  <c r="AE208" i="1"/>
  <c r="AE209" i="1"/>
  <c r="AE210" i="1"/>
  <c r="AE211" i="1"/>
  <c r="AE212" i="1"/>
  <c r="AE213" i="1"/>
  <c r="AE214" i="1"/>
  <c r="AE215" i="1"/>
  <c r="AE216" i="1"/>
  <c r="AE217" i="1"/>
  <c r="AE218" i="1"/>
  <c r="AE219" i="1"/>
  <c r="AE220" i="1"/>
  <c r="AE221" i="1"/>
  <c r="AE222" i="1"/>
  <c r="AE223" i="1"/>
  <c r="AE224" i="1"/>
  <c r="AE225" i="1"/>
  <c r="AE226" i="1"/>
  <c r="AE227" i="1"/>
  <c r="AE228" i="1"/>
  <c r="AE229" i="1"/>
  <c r="AE230" i="1"/>
  <c r="AE231" i="1"/>
  <c r="AE232" i="1"/>
  <c r="AE233" i="1"/>
  <c r="AE234" i="1"/>
  <c r="AE235" i="1"/>
  <c r="AE236" i="1"/>
  <c r="AE237" i="1"/>
  <c r="AE238" i="1"/>
  <c r="AE239" i="1"/>
  <c r="AE240" i="1"/>
  <c r="AE241" i="1"/>
  <c r="AE242" i="1"/>
  <c r="AE243" i="1"/>
  <c r="AE244" i="1"/>
  <c r="AE245" i="1"/>
  <c r="AE246" i="1"/>
  <c r="AE247" i="1"/>
  <c r="AE248" i="1"/>
  <c r="AE249" i="1"/>
  <c r="AE250" i="1"/>
  <c r="AE251" i="1"/>
  <c r="AE252" i="1"/>
  <c r="AE253" i="1"/>
  <c r="AE254" i="1"/>
  <c r="AE255" i="1"/>
  <c r="AE256" i="1"/>
  <c r="AE257" i="1"/>
  <c r="AE258" i="1"/>
  <c r="AE259" i="1"/>
  <c r="AE260" i="1"/>
  <c r="AE261" i="1"/>
  <c r="AE262" i="1"/>
  <c r="AE263" i="1"/>
  <c r="AE264" i="1"/>
  <c r="AE265" i="1"/>
  <c r="AE266" i="1"/>
  <c r="AE267" i="1"/>
  <c r="AE268" i="1"/>
  <c r="AE269" i="1"/>
  <c r="AE270" i="1"/>
  <c r="AE271" i="1"/>
  <c r="AE272" i="1"/>
  <c r="AE273" i="1"/>
  <c r="AE274" i="1"/>
  <c r="AE275" i="1"/>
  <c r="AE276" i="1"/>
  <c r="AE277" i="1"/>
  <c r="AE278" i="1"/>
  <c r="AE279" i="1"/>
  <c r="AE280" i="1"/>
  <c r="AE281" i="1"/>
  <c r="AE282" i="1"/>
  <c r="AE283" i="1"/>
  <c r="AE284" i="1"/>
  <c r="AE285" i="1"/>
  <c r="AE286" i="1"/>
  <c r="AE287" i="1"/>
  <c r="AE288" i="1"/>
  <c r="AE289" i="1"/>
  <c r="AE290" i="1"/>
  <c r="AE291" i="1"/>
  <c r="AE292" i="1"/>
  <c r="AE293" i="1"/>
  <c r="AE294" i="1"/>
  <c r="AE295" i="1"/>
  <c r="AE296" i="1"/>
  <c r="AE297" i="1"/>
  <c r="AE298" i="1"/>
  <c r="AE299" i="1"/>
  <c r="AE300" i="1"/>
  <c r="AE301" i="1"/>
  <c r="AE302" i="1"/>
  <c r="AE303" i="1"/>
  <c r="AE304" i="1"/>
  <c r="AE305" i="1"/>
  <c r="AE306" i="1"/>
  <c r="AE307" i="1"/>
  <c r="AE308" i="1"/>
  <c r="AE309" i="1"/>
  <c r="AE310" i="1"/>
  <c r="AE311" i="1"/>
  <c r="AE312" i="1"/>
  <c r="AE313" i="1"/>
  <c r="AE314" i="1"/>
  <c r="AE315" i="1"/>
  <c r="AE316" i="1"/>
  <c r="AE317" i="1"/>
  <c r="AE318" i="1"/>
  <c r="AE319" i="1"/>
  <c r="AE320" i="1"/>
  <c r="AE321" i="1"/>
  <c r="AE322" i="1"/>
  <c r="AE323" i="1"/>
  <c r="AE324" i="1"/>
  <c r="AE325" i="1"/>
  <c r="AE326" i="1"/>
  <c r="AE327" i="1"/>
  <c r="AE328" i="1"/>
  <c r="AE329" i="1"/>
  <c r="AE330" i="1"/>
  <c r="AE331" i="1"/>
  <c r="AE332" i="1"/>
  <c r="AE333" i="1"/>
  <c r="AE334" i="1"/>
  <c r="AE335" i="1"/>
  <c r="AE336" i="1"/>
  <c r="AE337" i="1"/>
  <c r="AE338" i="1"/>
  <c r="AE339" i="1"/>
  <c r="AE340" i="1"/>
  <c r="AE341" i="1"/>
  <c r="AE342" i="1"/>
  <c r="AE343" i="1"/>
  <c r="AE344" i="1"/>
  <c r="AE345" i="1"/>
  <c r="AE346" i="1"/>
  <c r="AE347" i="1"/>
  <c r="AE348" i="1"/>
  <c r="AE349" i="1"/>
  <c r="AE350" i="1"/>
  <c r="AE351" i="1"/>
  <c r="AE352" i="1"/>
  <c r="AE2" i="1"/>
  <c r="AJ13" i="8"/>
  <c r="AJ11" i="8"/>
  <c r="AJ12" i="8"/>
</calcChain>
</file>

<file path=xl/sharedStrings.xml><?xml version="1.0" encoding="utf-8"?>
<sst xmlns="http://schemas.openxmlformats.org/spreadsheetml/2006/main" count="3972" uniqueCount="739">
  <si>
    <t>SalesDetailsID</t>
  </si>
  <si>
    <t>SalesID</t>
  </si>
  <si>
    <t>LineItemNumber</t>
  </si>
  <si>
    <t>StockID</t>
  </si>
  <si>
    <t>SalePrice</t>
  </si>
  <si>
    <t>LineItemDiscount</t>
  </si>
  <si>
    <t>CustomerID</t>
  </si>
  <si>
    <t>SaleDate</t>
  </si>
  <si>
    <t>Data Sales.ID</t>
  </si>
  <si>
    <t>CustomerName</t>
  </si>
  <si>
    <t>Customer.Address1</t>
  </si>
  <si>
    <t>Customer.Town</t>
  </si>
  <si>
    <t>Customer.Country</t>
  </si>
  <si>
    <t>CountryName</t>
  </si>
  <si>
    <t>Country.SalesRegion</t>
  </si>
  <si>
    <t>ModelID</t>
  </si>
  <si>
    <t>Stock.Cost</t>
  </si>
  <si>
    <t>Stock.RepairsCost</t>
  </si>
  <si>
    <t>Stock.PartsCost</t>
  </si>
  <si>
    <t>Stock.TransportInCost</t>
  </si>
  <si>
    <t>TotalSalePrice</t>
  </si>
  <si>
    <t>Total Cost</t>
  </si>
  <si>
    <t>Profit Percentege</t>
  </si>
  <si>
    <t>PROFIT</t>
  </si>
  <si>
    <t>Stock.Color</t>
  </si>
  <si>
    <t>Stock.DateBought</t>
  </si>
  <si>
    <t>MakeID</t>
  </si>
  <si>
    <t>ModelName</t>
  </si>
  <si>
    <t>MakeName</t>
  </si>
  <si>
    <t>MakeCountry</t>
  </si>
  <si>
    <t>B1C3B95E-3005-4840-8CE3-A7BC5F9CFB3F</t>
  </si>
  <si>
    <t>Magic Motors</t>
  </si>
  <si>
    <t>27, Handsworth Road</t>
  </si>
  <si>
    <t>Birmingham</t>
  </si>
  <si>
    <t xml:space="preserve">GB        </t>
  </si>
  <si>
    <t>United Kingdom</t>
  </si>
  <si>
    <t>EMEA</t>
  </si>
  <si>
    <t>Red</t>
  </si>
  <si>
    <t>Testarossa</t>
  </si>
  <si>
    <t>Ferrari</t>
  </si>
  <si>
    <t>ITA</t>
  </si>
  <si>
    <t>A2C3B95E-3005-4840-8CE3-A7BC5F9CFB5F</t>
  </si>
  <si>
    <t>Snazzy Roadsters</t>
  </si>
  <si>
    <t>102, Bleak Street</t>
  </si>
  <si>
    <t>Blue</t>
  </si>
  <si>
    <t>355</t>
  </si>
  <si>
    <t>558620F5-B9E8-4FFF-8F73-A83FA9559C41</t>
  </si>
  <si>
    <t>Birmingham Executive Prestige Vehicles</t>
  </si>
  <si>
    <t>96, Aardvark Avenue</t>
  </si>
  <si>
    <t>British Racing Green</t>
  </si>
  <si>
    <t>911</t>
  </si>
  <si>
    <t>Porsche</t>
  </si>
  <si>
    <t>GER</t>
  </si>
  <si>
    <t>72443561-FAC4-4C25-B8FF-0C47361DDE2D</t>
  </si>
  <si>
    <t>WunderKar</t>
  </si>
  <si>
    <t>AlexanderPlatz 205</t>
  </si>
  <si>
    <t>Berlin</t>
  </si>
  <si>
    <t xml:space="preserve">DE        </t>
  </si>
  <si>
    <t>Germany</t>
  </si>
  <si>
    <t>924</t>
  </si>
  <si>
    <t>2189D556-D1C4-4BC1-B0C8-4053319E8E9D</t>
  </si>
  <si>
    <t>Casseroles Chromes</t>
  </si>
  <si>
    <t>29, Rue Gigondas</t>
  </si>
  <si>
    <t>Lyon</t>
  </si>
  <si>
    <t xml:space="preserve">FR        </t>
  </si>
  <si>
    <t>France</t>
  </si>
  <si>
    <t>944</t>
  </si>
  <si>
    <t>C1459308-7EA5-4A2D-82BC-38079BB4049B</t>
  </si>
  <si>
    <t>Night Blue</t>
  </si>
  <si>
    <t>DB4</t>
  </si>
  <si>
    <t>Aston Martin</t>
  </si>
  <si>
    <t>GBR</t>
  </si>
  <si>
    <t>E6E6270A-60B0-4817-AA57-17F26B2B8DAF</t>
  </si>
  <si>
    <t>Black</t>
  </si>
  <si>
    <t>DB5</t>
  </si>
  <si>
    <t>CEDFB8D2-BD98-4A08-BC46-406D23940527</t>
  </si>
  <si>
    <t>Eat My Exhaust Ltd</t>
  </si>
  <si>
    <t>29, Kop Hill</t>
  </si>
  <si>
    <t>Liverpool</t>
  </si>
  <si>
    <t>Canary Yellow</t>
  </si>
  <si>
    <t>DB6</t>
  </si>
  <si>
    <t>6081DBE7-9AD6-4C64-A676-61D919E64979</t>
  </si>
  <si>
    <t>M. Pierre Dubois</t>
  </si>
  <si>
    <t>14, Rue De La Hutte</t>
  </si>
  <si>
    <t>Marseille</t>
  </si>
  <si>
    <t>D63C8CC9-DB19-4B9C-9C8E-6C6370812041</t>
  </si>
  <si>
    <t>Sondra Horowitz</t>
  </si>
  <si>
    <t>10040 Great Western Road</t>
  </si>
  <si>
    <t>Los Angeles</t>
  </si>
  <si>
    <t xml:space="preserve">US        </t>
  </si>
  <si>
    <t>United States</t>
  </si>
  <si>
    <t>North America</t>
  </si>
  <si>
    <t>F3A2712D-20CA-495D-9F6A-8A4CA195248D</t>
  </si>
  <si>
    <t>Wonderland Wheels</t>
  </si>
  <si>
    <t>57, Grosvenor Estate Avenue</t>
  </si>
  <si>
    <t>London</t>
  </si>
  <si>
    <t>4C57F13A-E21B-4AAC-9E9D-A219D4C691C6</t>
  </si>
  <si>
    <t>Flying Spur</t>
  </si>
  <si>
    <t>Bentley</t>
  </si>
  <si>
    <t>98C1E31A-4258-4F78-95D4-2365167E6F3F</t>
  </si>
  <si>
    <t>London Executive Prestige Vehicles</t>
  </si>
  <si>
    <t>199, Park Lane</t>
  </si>
  <si>
    <t>951195C4-7B69-418B-9AC2-61CCB7FE7C09</t>
  </si>
  <si>
    <t>Green</t>
  </si>
  <si>
    <t>91CF8133-EF19-4C92-BEFB-6A24FD85EF3A</t>
  </si>
  <si>
    <t>Glittering Prize Cars Ltd</t>
  </si>
  <si>
    <t>46, Golders Green Road</t>
  </si>
  <si>
    <t>BCCB9C13-AEDA-4467-A014-48F0C7A0D6A4</t>
  </si>
  <si>
    <t>La Bagnole de Luxe</t>
  </si>
  <si>
    <t>890 Place de la Concorde</t>
  </si>
  <si>
    <t>Paris</t>
  </si>
  <si>
    <t>280SL</t>
  </si>
  <si>
    <t>Mercedes</t>
  </si>
  <si>
    <t>94FF5451-471C-4F17-BE27-BA55D3ECF5DC</t>
  </si>
  <si>
    <t>Convertible Dreams</t>
  </si>
  <si>
    <t>31, Archbishop Ave</t>
  </si>
  <si>
    <t>Giulia</t>
  </si>
  <si>
    <t>Alfa Romeo</t>
  </si>
  <si>
    <t>325F4D73-D44A-44BD-B109-AD25D924D38F</t>
  </si>
  <si>
    <t>Alexei Tolstoi</t>
  </si>
  <si>
    <t>83, Abbey Road</t>
  </si>
  <si>
    <t>XK150</t>
  </si>
  <si>
    <t>Jaguar</t>
  </si>
  <si>
    <t>FDCDF3F0-F0AD-4E7F-8793-8B146700D035</t>
  </si>
  <si>
    <t>SuperSport S.A.R.L.</t>
  </si>
  <si>
    <t>210 Place de la Republique</t>
  </si>
  <si>
    <t>Silver</t>
  </si>
  <si>
    <t>XJS</t>
  </si>
  <si>
    <t>34CEE6C8-985B-4005-AB2F-AD3235C6A16D</t>
  </si>
  <si>
    <t>BEECAE2C-0A38-473D-893F-7C8917A779C2</t>
  </si>
  <si>
    <t>Theo Kowalski</t>
  </si>
  <si>
    <t>1000 East 51st Street</t>
  </si>
  <si>
    <t>New York</t>
  </si>
  <si>
    <t>TR4</t>
  </si>
  <si>
    <t>Triumph</t>
  </si>
  <si>
    <t>5672C4AF-78E1-4BA4-B1D1-19383DCBE43C</t>
  </si>
  <si>
    <t>Peter McLuckie</t>
  </si>
  <si>
    <t>73, Entwhistle Street</t>
  </si>
  <si>
    <t>TR5</t>
  </si>
  <si>
    <t>F95052DB-3E09-4070-ADA4-5114CCAD96C0</t>
  </si>
  <si>
    <t>Posh Vehicles Ltd</t>
  </si>
  <si>
    <t>82, Millar Close</t>
  </si>
  <si>
    <t>Manchester</t>
  </si>
  <si>
    <t>646C802F-C868-40F0-AF81-1BF387AFB82B</t>
  </si>
  <si>
    <t>XK120</t>
  </si>
  <si>
    <t>1BB4B941-79F4-4E98-9E13-46875CA7EB67</t>
  </si>
  <si>
    <t>18E980AB-452D-42EF-8728-12822AD20C60</t>
  </si>
  <si>
    <t>Virage</t>
  </si>
  <si>
    <t>F2DE934E-62C3-45F6-AFA8-2FFA963F5360</t>
  </si>
  <si>
    <t>0CC75388-9A95-4F14-8D9A-8373E3B44D8A</t>
  </si>
  <si>
    <t>5CCF4F6B-43B3-4C7F-B674-6CAFD056E52A</t>
  </si>
  <si>
    <t>Le Luxe en Motion</t>
  </si>
  <si>
    <t>Avenue des Indes, 26</t>
  </si>
  <si>
    <t>Geneva</t>
  </si>
  <si>
    <t xml:space="preserve">CH        </t>
  </si>
  <si>
    <t>Switzerland</t>
  </si>
  <si>
    <t>E264504D-3451-4670-AAB8-E4C66F2387B0</t>
  </si>
  <si>
    <t>A926BB6C-FC26-4EBB-997E-2DF7EDC48E92</t>
  </si>
  <si>
    <t>202B3C90-188F-413E-A44A-B99F16F03464</t>
  </si>
  <si>
    <t>486C65E8-5CB9-4A33-9507-E2E5E3CB91CC</t>
  </si>
  <si>
    <t>3F3BED8D-1203-4D3E-8AC0-3ACAC73BDE17</t>
  </si>
  <si>
    <t>281946B6-D061-455A-801B-A0EDF3E37530</t>
  </si>
  <si>
    <t>Jason B. Wight</t>
  </si>
  <si>
    <t>5300 Star Boulevard</t>
  </si>
  <si>
    <t>Washington</t>
  </si>
  <si>
    <t>98A92DA3-2B99-4625-998B-2BB2FBB8F167</t>
  </si>
  <si>
    <t>Silver HubCaps</t>
  </si>
  <si>
    <t>54, Didsbury Lane</t>
  </si>
  <si>
    <t>Pink</t>
  </si>
  <si>
    <t>Continental</t>
  </si>
  <si>
    <t>A9D335E7-2389-4DE1-9484-DC4EC6BA81D4</t>
  </si>
  <si>
    <t>Stan Collywobble</t>
  </si>
  <si>
    <t>65, Townsend Road</t>
  </si>
  <si>
    <t>53C088BA-6E14-4758-826A-56FC57D3EEDA</t>
  </si>
  <si>
    <t>Glitz</t>
  </si>
  <si>
    <t>FriedrichStrasse 579</t>
  </si>
  <si>
    <t>Stuttgart</t>
  </si>
  <si>
    <t>6C76FDEC-683F-45E1-B027-20ACFD2F501C</t>
  </si>
  <si>
    <t>A7A80CA3-06D6-40AF-A558-09146A650340</t>
  </si>
  <si>
    <t>A2112C27-FE1F-48C5-A3BE-A019EE17DDD6</t>
  </si>
  <si>
    <t>Countach</t>
  </si>
  <si>
    <t>Lamborghini</t>
  </si>
  <si>
    <t>88AFBF67-13A6-4BC5-AE50-8C64F0F25453</t>
  </si>
  <si>
    <t>Matterhorn Motors</t>
  </si>
  <si>
    <t>1, Rue de la Colline</t>
  </si>
  <si>
    <t>Lausanne</t>
  </si>
  <si>
    <t>Diabolo</t>
  </si>
  <si>
    <t>11790E1E-859C-4E05-B6B3-6D72DDCC8DAE</t>
  </si>
  <si>
    <t>King Leer Cars</t>
  </si>
  <si>
    <t>87, Lindisfarne Road</t>
  </si>
  <si>
    <t>Newcastle</t>
  </si>
  <si>
    <t>Mondial</t>
  </si>
  <si>
    <t>B165CAEF-FF77-4E63-98C1-59D97F97E7C9</t>
  </si>
  <si>
    <t>CE0A56A6-8218-4F4C-A0E2-63F3DC9E4AE6</t>
  </si>
  <si>
    <t>23E7F9FA-67D4-47C1-8D66-F1CFBC33540F</t>
  </si>
  <si>
    <t>360</t>
  </si>
  <si>
    <t>07F0D746-085B-4FB9-9F82-6CEAC851FBC3</t>
  </si>
  <si>
    <t>7BABE805-CE07-4C06-AAF1-6B5D83645CD8</t>
  </si>
  <si>
    <t>Spider</t>
  </si>
  <si>
    <t>D7BF8DD9-1841-4FDE-8469-66B09FA30A74</t>
  </si>
  <si>
    <t>8F278478-CA0B-4CDB-8F02-1A054AAE88A9</t>
  </si>
  <si>
    <t>E-Type</t>
  </si>
  <si>
    <t>4FFB74AD-C031-4BD9-9589-A87F462E6842</t>
  </si>
  <si>
    <t>055F7639-30EA-4975-A8CB-29F5C1C1C48E</t>
  </si>
  <si>
    <t>518125AE-9A67-45A6-B3FD-557C785796FC</t>
  </si>
  <si>
    <t>Honest Pete Motors</t>
  </si>
  <si>
    <t>76, Williams Street</t>
  </si>
  <si>
    <t>Stoke</t>
  </si>
  <si>
    <t>65F89D52-9B2D-4363-8A07-4A5CE90197DB</t>
  </si>
  <si>
    <t>Peter Smith</t>
  </si>
  <si>
    <t>82, Ell Pie Lane</t>
  </si>
  <si>
    <t>54A66D7C-9E0B-40E9-B1B1-CA655F060CDE</t>
  </si>
  <si>
    <t>Vive La Vitesse</t>
  </si>
  <si>
    <t>56, Rue Noiratre</t>
  </si>
  <si>
    <t>D93AF620-4F69-475A-98ED-829E0F8A3A40</t>
  </si>
  <si>
    <t>0BE222D6-9254-4FC8-892D-76563CA81F9B</t>
  </si>
  <si>
    <t>521659A4-8FF2-441A-8D2E-C584D561301F</t>
  </si>
  <si>
    <t>Liverpool Executive Prestige Vehicles</t>
  </si>
  <si>
    <t>8, Everton Avenue</t>
  </si>
  <si>
    <t>66CCEBEA-00EA-44B3-BBFE-AC5EC2DE456D</t>
  </si>
  <si>
    <t>B36188E4-3684-4337-91FE-84BB33736476</t>
  </si>
  <si>
    <t>Mrs. Ivana Telford</t>
  </si>
  <si>
    <t>52, Gerrard Mansions</t>
  </si>
  <si>
    <t>66C9034C-23A3-44F1-B946-2DDA65E684D8</t>
  </si>
  <si>
    <t>E00D10E9-7F7F-49A9-BDC0-4C2611580B4E</t>
  </si>
  <si>
    <t>959</t>
  </si>
  <si>
    <t>AAF61ECC-0BAC-4EAF-9E50-01749253329A</t>
  </si>
  <si>
    <t>Kieran O'Harris</t>
  </si>
  <si>
    <t>71, Askwith Ave</t>
  </si>
  <si>
    <t>928</t>
  </si>
  <si>
    <t>A1A4180E-B929-467D-91A6-73D2D0F34C65</t>
  </si>
  <si>
    <t>Prestige Imports</t>
  </si>
  <si>
    <t>Gran Via 26</t>
  </si>
  <si>
    <t>Barcelona</t>
  </si>
  <si>
    <t xml:space="preserve">ES        </t>
  </si>
  <si>
    <t>Spain</t>
  </si>
  <si>
    <t>B5E7DD25-9D69-464C-9327-A8C5E706F534</t>
  </si>
  <si>
    <t>Prestissimo!</t>
  </si>
  <si>
    <t>Via Appia 239</t>
  </si>
  <si>
    <t>Milan</t>
  </si>
  <si>
    <t xml:space="preserve">IT        </t>
  </si>
  <si>
    <t>Italy</t>
  </si>
  <si>
    <t>0B0E0FC2-E72B-4BD4-9C46-1AF98F17BEC4</t>
  </si>
  <si>
    <t>356EE84B-F4FD-4923-9423-D58E2863E9A1</t>
  </si>
  <si>
    <t>Dark Purple</t>
  </si>
  <si>
    <t>DB9</t>
  </si>
  <si>
    <t>92D7DE8E-0BA7-4221-B2B1-A01F7FAFDD3E</t>
  </si>
  <si>
    <t>TR6</t>
  </si>
  <si>
    <t>5BE0098D-511F-4CF1-B87C-2CE2532F1B31</t>
  </si>
  <si>
    <t>BDC5E621-D976-478D-A620-A0751FCBEF96</t>
  </si>
  <si>
    <t>72EF5AA5-997C-4AC0-A32E-591D1E009818</t>
  </si>
  <si>
    <t>Vanquish</t>
  </si>
  <si>
    <t>4BFD3782-0B79-4F4E-981A-96CEF827497F</t>
  </si>
  <si>
    <t>Rapide</t>
  </si>
  <si>
    <t>E6E23C74-39AF-4A44-BAAE-7CD48B0F6161</t>
  </si>
  <si>
    <t>420701D6-5F66-4885-8A72-8B54541965A6</t>
  </si>
  <si>
    <t>870C2B0A-A6AE-4F84-91EF-806C985A02E5</t>
  </si>
  <si>
    <t>6BF8C577-E615-4667-A48C-25E8D825AAC6</t>
  </si>
  <si>
    <t>98C3863B-7A70-4FAD-B3C7-2B5702956E18</t>
  </si>
  <si>
    <t>8C1E8506-711C-442A-89A4-EDA28EB5B788</t>
  </si>
  <si>
    <t>BC4D491E-764B-48AE-BEDC-07DE123B7200</t>
  </si>
  <si>
    <t>4C00023A-47C5-4F98-A9B1-F222EDE2F563</t>
  </si>
  <si>
    <t>170FAF32-4223-4806-B483-D89F4D38AC16</t>
  </si>
  <si>
    <t>Diplomatic Cars</t>
  </si>
  <si>
    <t>Rue Des Coteaux, 39</t>
  </si>
  <si>
    <t>Brussels</t>
  </si>
  <si>
    <t xml:space="preserve">BE        </t>
  </si>
  <si>
    <t>Belgium</t>
  </si>
  <si>
    <t>Vantage</t>
  </si>
  <si>
    <t>9CFAF367-ED4B-4A3E-8CB2-394F1F7A58C1</t>
  </si>
  <si>
    <t>Laurent Saint Yves</t>
  </si>
  <si>
    <t>49, Rue Quicampoix</t>
  </si>
  <si>
    <t>126C36BB-9C33-4BC5-9127-F941731DD0C8</t>
  </si>
  <si>
    <t>Screamin' Wheels</t>
  </si>
  <si>
    <t>1090 Reagan Road</t>
  </si>
  <si>
    <t>98B3C1C2-7AE2-4A88-A3C9-484483C6EC66</t>
  </si>
  <si>
    <t>4, Churchill Close</t>
  </si>
  <si>
    <t>4A40B2AA-A76B-4C08-A59B-19CDE0ED868C</t>
  </si>
  <si>
    <t>100EE806-DFE5-4C5E-9AB4-8F881615F8BD</t>
  </si>
  <si>
    <t>00DDC5C0-E266-49E4-A785-E4F8BC3C9B24</t>
  </si>
  <si>
    <t>TR7</t>
  </si>
  <si>
    <t>97AFC7D5-91BF-47E3-8568-01B704E956C2</t>
  </si>
  <si>
    <t>GT6</t>
  </si>
  <si>
    <t>6A2699A6-ED27-42A9-B811-06D19EB5FA3C</t>
  </si>
  <si>
    <t>70C9BE5C-3CCA-4FB2-B4DE-E5F0A61BB84D</t>
  </si>
  <si>
    <t>B76D6985-E106-4213-AACC-288088795C92</t>
  </si>
  <si>
    <t>955E8BC5-C31B-4EE5-A48D-76517063C334</t>
  </si>
  <si>
    <t>2FCD3EBC-CBA7-4B3C-B6A0-A3A011D3A47B</t>
  </si>
  <si>
    <t>155E940E-7AA7-47EA-B83F-B3521F0B5718</t>
  </si>
  <si>
    <t>B25CB659-C0A2-451E-AADB-7A006414D6E1</t>
  </si>
  <si>
    <t>19D1000C-178F-4BBA-9B19-C93804D047AC</t>
  </si>
  <si>
    <t>XJ12</t>
  </si>
  <si>
    <t>DD6A0129-40CF-449F-8427-1C97BF14B2BD</t>
  </si>
  <si>
    <t>66D70810-1EE2-4BCA-B1B4-1E5B86C75002</t>
  </si>
  <si>
    <t>384778FF-C28D-4FE6-9BEF-D787EFDC23CF</t>
  </si>
  <si>
    <t>B760CF74-6468-4A0D-9485-36C7F7710EB0</t>
  </si>
  <si>
    <t>E1350CBE-B916-4F18-B5BF-F7D53A31205A</t>
  </si>
  <si>
    <t>9D74A1A9-7342-4FEA-9C21-6AC4EFE92018</t>
  </si>
  <si>
    <t>C001858B-0B5D-4648-8F0D-80269964C921</t>
  </si>
  <si>
    <t>BB4B9483-7AE3-47B4-A788-7EB5D12A7516</t>
  </si>
  <si>
    <t>Arnage</t>
  </si>
  <si>
    <t>6120D922-6703-4267-969B-A9A9D3CAE787</t>
  </si>
  <si>
    <t>Phantom</t>
  </si>
  <si>
    <t>Rolls Royce</t>
  </si>
  <si>
    <t>30DC26F7-E98B-4FE8-B834-D625EC7E12F3</t>
  </si>
  <si>
    <t>Executive Motor Delight</t>
  </si>
  <si>
    <t>17, The Brambles</t>
  </si>
  <si>
    <t>34A69512-CDC3-4BEB-ADCB-AAE360CA7CF4</t>
  </si>
  <si>
    <t>3EDC8773-9603-4D38-9DC9-64E1C4768F7D</t>
  </si>
  <si>
    <t>Alicia Almodovar</t>
  </si>
  <si>
    <t>Palacia Del Sol</t>
  </si>
  <si>
    <t>9FF62C70-89E4-4815-912F-C5DFBF8BDF0F</t>
  </si>
  <si>
    <t>Ronaldo Bianco</t>
  </si>
  <si>
    <t>Palazzo Medusa 2000</t>
  </si>
  <si>
    <t>EC25FA02-2692-42E1-85A0-71F0775C8F8A</t>
  </si>
  <si>
    <t>E368D03E-239C-499F-A41A-CC4D2AE1AFF8</t>
  </si>
  <si>
    <t>4C1762AE-F7FD-4F2C-875B-CAC022B0DF63</t>
  </si>
  <si>
    <t>DB8869B2-1EC0-48D5-9DA6-FDF1665155F0</t>
  </si>
  <si>
    <t>DD651733-FE5C-46B9-AC97-727F8CD170A6</t>
  </si>
  <si>
    <t>F810FAB0-6BAE-4AC0-BDBC-F14A71AC35B9</t>
  </si>
  <si>
    <t>3CF2C0F8-21E1-4ADE-AE72-AB9DFE3790DD</t>
  </si>
  <si>
    <t>A017241D-3A92-4EA7-A3EE-22FC119542F8</t>
  </si>
  <si>
    <t>Ghost</t>
  </si>
  <si>
    <t>4537B83B-2444-4389-B2DE-F30E15608163</t>
  </si>
  <si>
    <t>7CEA62B1-9CBE-4E13-BECC-54E7EED128EF</t>
  </si>
  <si>
    <t>102A734C-3212-4708-85A5-A96FE8E14641</t>
  </si>
  <si>
    <t>9B8B87E1-7770-4136-8EB4-B7173C8783A6</t>
  </si>
  <si>
    <t>Brooklands</t>
  </si>
  <si>
    <t>C0E2E06D-AE60-4223-9E7C-B8387F2A4335</t>
  </si>
  <si>
    <t>3EEC687A-759C-4D8A-8776-E257E8230376</t>
  </si>
  <si>
    <t>Boxster</t>
  </si>
  <si>
    <t>09FA3947-726D-4987-B9DD-2F4CF7CD7C45</t>
  </si>
  <si>
    <t>52CE8210-53B8-4C09-B821-6389A09733C5</t>
  </si>
  <si>
    <t>Silver Shadow</t>
  </si>
  <si>
    <t>DE44149E-1225-4B7C-97E5-8089A4F21C1C</t>
  </si>
  <si>
    <t>203</t>
  </si>
  <si>
    <t>Peugeot</t>
  </si>
  <si>
    <t>CF9A23D7-6F8A-4CA6-A037-95EA7385B539</t>
  </si>
  <si>
    <t>98299E86-0B98-42D8-A549-37D89435B4E3</t>
  </si>
  <si>
    <t>DD8D9340-29B0-4E0D-89B3-BD33B70E087D</t>
  </si>
  <si>
    <t>BBDFB7CF-FBA6-4463-BC1E-FE79522431EE</t>
  </si>
  <si>
    <t>47077B33-09BC-4FF2-B71B-58E243952BAA</t>
  </si>
  <si>
    <t>A48E5430-ACA4-41FD-BC6F-446BE2B46DF8</t>
  </si>
  <si>
    <t>E869D5E4-CAC0-48ED-8961-03D0405EA2FD</t>
  </si>
  <si>
    <t>74DD8FE1-B205-4400-A951-1E54E7C22E40</t>
  </si>
  <si>
    <t>Enzo</t>
  </si>
  <si>
    <t>7392B5F6-783C-4D4B-B687-74A98411A7CB</t>
  </si>
  <si>
    <t>01B087C6-00D1-40B2-808F-B4B5BC1E344D</t>
  </si>
  <si>
    <t>Giulietta</t>
  </si>
  <si>
    <t>11BCE306-33ED-4C8D-9198-2A4B653D9F8A</t>
  </si>
  <si>
    <t>Lichfield</t>
  </si>
  <si>
    <t>Austin</t>
  </si>
  <si>
    <t>6943ADF3-01A4-4281-B0CE-93384FE60418</t>
  </si>
  <si>
    <t>A08FCF25-5B27-4215-BF50-E94D0F7C8CD6</t>
  </si>
  <si>
    <t>Princess</t>
  </si>
  <si>
    <t>8F100F91-FE3C-4338-AA52-7BF61A540199</t>
  </si>
  <si>
    <t>404</t>
  </si>
  <si>
    <t>84BE4607-F8D7-49DA-8C27-D87FE529DF96</t>
  </si>
  <si>
    <t>EB59DB36-5E67-4AF1-AE8A-46E8999EEF45</t>
  </si>
  <si>
    <t>7372D1C7-800F-4DE4-B3BC-FFA46CE77099</t>
  </si>
  <si>
    <t>V12</t>
  </si>
  <si>
    <t>Lagonda</t>
  </si>
  <si>
    <t>E267042F-449B-4CA9-8BDE-5C197DC8A647</t>
  </si>
  <si>
    <t>2C377634-90F1-4BC1-A366-0F0EBD26910D</t>
  </si>
  <si>
    <t>49D19AE8-FBBF-496C-BC1E-9450544DD193</t>
  </si>
  <si>
    <t>0B3AEBF5-0997-447D-B0E8-B399B7343742</t>
  </si>
  <si>
    <t>643800B3-AD63-4B67-8ACF-672B91F04C57</t>
  </si>
  <si>
    <t>Jarama</t>
  </si>
  <si>
    <t>EDCCE461-5DA8-4E2E-8F08-798431841575</t>
  </si>
  <si>
    <t>7F08368D-B6EA-4DFC-A1EC-B1A1B0221F04</t>
  </si>
  <si>
    <t>0588AA57-B6B5-47F5-910F-5A1099B0476D</t>
  </si>
  <si>
    <t>32C41EC9-CB3C-4D0F-9C85-2500CE2E4813</t>
  </si>
  <si>
    <t>Rosalie</t>
  </si>
  <si>
    <t>Citroen</t>
  </si>
  <si>
    <t>FRA</t>
  </si>
  <si>
    <t>1909CD9B-9C06-4CFB-B8AD-292967E55E2F</t>
  </si>
  <si>
    <t>145</t>
  </si>
  <si>
    <t>Delahaye</t>
  </si>
  <si>
    <t>1B77D0BA-45C9-4C76-952E-B2FA2859B7AB</t>
  </si>
  <si>
    <t>Silver Seraph</t>
  </si>
  <si>
    <t>CD06C0DF-D3A2-4593-BF40-7DAE6B73F58C</t>
  </si>
  <si>
    <t>57C</t>
  </si>
  <si>
    <t>Bugatti</t>
  </si>
  <si>
    <t>08B3555E-47A2-4365-AED8-2DF054FF73E2</t>
  </si>
  <si>
    <t>Veyron</t>
  </si>
  <si>
    <t>C1A812F1-5FA1-48BA-8787-16F2F0A704BC</t>
  </si>
  <si>
    <t>05AB94D5-2F8D-4B06-878D-615956C94EC2</t>
  </si>
  <si>
    <t>Wraith</t>
  </si>
  <si>
    <t>B607E8E1-5ECA-4DE2-BC46-909DBF9371D3</t>
  </si>
  <si>
    <t>Sport.Car</t>
  </si>
  <si>
    <t>Via Barberini 59</t>
  </si>
  <si>
    <t>Rome</t>
  </si>
  <si>
    <t>7A12CA8A-DC67-4A4F-B6F4-8B150873523A</t>
  </si>
  <si>
    <t>Autos Sportivos</t>
  </si>
  <si>
    <t>Paseo del Prado, 270</t>
  </si>
  <si>
    <t>Madrid</t>
  </si>
  <si>
    <t>Torpedo</t>
  </si>
  <si>
    <t>4A4A1D5E-1682-4ACA-A60D-0072693FE190</t>
  </si>
  <si>
    <t>DB2</t>
  </si>
  <si>
    <t>C4ACB04E-C8D4-465E-8D66-8BA033443D61</t>
  </si>
  <si>
    <t>5D11974B-326C-44C5-BA1D-57968CAB0DEE</t>
  </si>
  <si>
    <t>F8B48177-FB78-4245-935F-FB6FBCE8D870</t>
  </si>
  <si>
    <t>32, Allee de la Paix</t>
  </si>
  <si>
    <t>F50</t>
  </si>
  <si>
    <t>6AEAC4F1-4C81-4FAA-A97C-3DCC0E6CB5DE</t>
  </si>
  <si>
    <t>Screamin' Wheels Corp</t>
  </si>
  <si>
    <t>50000 Fifth Avenue</t>
  </si>
  <si>
    <t>F40</t>
  </si>
  <si>
    <t>A5BDB4E0-1544-449F-8596-D63D70548675</t>
  </si>
  <si>
    <t>06FD2864-8415-44A5-B022-B98BEFB7E490</t>
  </si>
  <si>
    <t>ECC534C7-B2DD-425C-98D3-98D2332B373C</t>
  </si>
  <si>
    <t>Robin</t>
  </si>
  <si>
    <t>Reliant</t>
  </si>
  <si>
    <t>589E8DB1-B2D4-4921-A11B-9A2A80EA73D9</t>
  </si>
  <si>
    <t>P1</t>
  </si>
  <si>
    <t>McLaren</t>
  </si>
  <si>
    <t>BD15948E-42F0-41BC-920C-343E0816B0AB</t>
  </si>
  <si>
    <t>Pierre Blanc</t>
  </si>
  <si>
    <t>52 Deirdre Lane</t>
  </si>
  <si>
    <t>DMC 12</t>
  </si>
  <si>
    <t>Delorean</t>
  </si>
  <si>
    <t>USA</t>
  </si>
  <si>
    <t>E0760EF4-3939-4063-821F-5923EF8760B4</t>
  </si>
  <si>
    <t>Capots Reluisants S.A.</t>
  </si>
  <si>
    <t>567 rue Lafayette</t>
  </si>
  <si>
    <t>E30</t>
  </si>
  <si>
    <t>BMW</t>
  </si>
  <si>
    <t>D3C15454-EF60-415F-860D-99D41F0A485F</t>
  </si>
  <si>
    <t>DF5411FC-24C5-4CAB-89DF-54741054D8DD</t>
  </si>
  <si>
    <t>8BB5BBD3-E03C-457C-86E2-67199FCB302A</t>
  </si>
  <si>
    <t>3A0070F8-C340-4B6F-9F36-4A1CBDB39FE9</t>
  </si>
  <si>
    <t>638FCDD5-AFFF-4DCA-AAEC-17F527FB9D02</t>
  </si>
  <si>
    <t>0C3EBD09-B9DF-414D-AD00-90F5819812D0</t>
  </si>
  <si>
    <t>M600</t>
  </si>
  <si>
    <t>Noble</t>
  </si>
  <si>
    <t>8BB7FF86-2D80-40B7-B216-254C16843529</t>
  </si>
  <si>
    <t>57E2BA34-6397-448F-8A8C-1306CC922231</t>
  </si>
  <si>
    <t>2EE943CB-2473-4333-8626-FC94FCD0947E</t>
  </si>
  <si>
    <t>Stefano DiLonghi</t>
  </si>
  <si>
    <t>Piazza Verona</t>
  </si>
  <si>
    <t>1A80A54C-D98D-41D6-87EE-8F67F3B06FA8</t>
  </si>
  <si>
    <t>D32D55B7-3546-4CCA-B4C0-DBA976572CA2</t>
  </si>
  <si>
    <t>Antonio Maura</t>
  </si>
  <si>
    <t>Puerta del Sol, 45</t>
  </si>
  <si>
    <t>Roadster</t>
  </si>
  <si>
    <t>D05D6642-FABF-4F56-8A7E-D8C47A8AAB70</t>
  </si>
  <si>
    <t>658F0B06-2357-4DAA-803C-4DD7F569F270</t>
  </si>
  <si>
    <t>760F5558-3C9E-4B70-A412-0448B90B0D89</t>
  </si>
  <si>
    <t>Stefan Van Helsing</t>
  </si>
  <si>
    <t>Nieuwstraat 5</t>
  </si>
  <si>
    <t>205</t>
  </si>
  <si>
    <t>B09E4DDD-C2DD-45BE-B5F1-19FBF5970352</t>
  </si>
  <si>
    <t>B4CC6E9A-8473-4A84-A811-73EABAFDC582</t>
  </si>
  <si>
    <t>2595D5C0-5002-464B-8F2B-C873FB29B4F9</t>
  </si>
  <si>
    <t>Mme Anne Duport</t>
  </si>
  <si>
    <t>90, Place de la Victoire 1945</t>
  </si>
  <si>
    <t>D69ABA72-1B0D-4073-8B7D-D6CA65C4DDF7</t>
  </si>
  <si>
    <t>332CE8D2-E19F-4656-BCC6-E3E45AD09D85</t>
  </si>
  <si>
    <t>306507B9-D2E1-4C5D-8F01-C93C90C93B6E</t>
  </si>
  <si>
    <t>2B0FC8E5-82CB-4804-8691-0586F2255E9E</t>
  </si>
  <si>
    <t>ACB85DBA-4914-4222-8D24-6D87B0DAE10A</t>
  </si>
  <si>
    <t>Corniche</t>
  </si>
  <si>
    <t>23E43063-5402-4946-8830-0723F6B3CE1C</t>
  </si>
  <si>
    <t>E59BFE04-E70B-4BAC-9269-ADC311ED0032</t>
  </si>
  <si>
    <t>250SL</t>
  </si>
  <si>
    <t>8979136A-B34A-4CD3-B119-A6B158D15FFF</t>
  </si>
  <si>
    <t>350SL</t>
  </si>
  <si>
    <t>34A4BB21-60B3-4B0D-8DDB-8189C471A581</t>
  </si>
  <si>
    <t>500SL</t>
  </si>
  <si>
    <t>AFAF5C3E-80C9-4C5A-9D2A-CDD238E40264</t>
  </si>
  <si>
    <t>Isetta</t>
  </si>
  <si>
    <t>7FCABEE5-E116-4AE3-B7B1-483C2F0D18CA</t>
  </si>
  <si>
    <t>B84575EE-2E61-482C-8B72-5A6A90ADC3FE</t>
  </si>
  <si>
    <t>DB2AF439-6293-4925-B905-1A57A0118B1A</t>
  </si>
  <si>
    <t>15108517-AD0C-4FF2-A7D4-57679C374A68</t>
  </si>
  <si>
    <t>10AD713C-C997-48BB-A5FB-F0B5FD26479B</t>
  </si>
  <si>
    <t>C1C9D15D-9E57-4D22-8997-D1333EEC6B13</t>
  </si>
  <si>
    <t>8A275CE2-D116-49F7-8571-FD91F21ADAAA</t>
  </si>
  <si>
    <t>009A5323-23E5-48BE-95DB-BA94E1897419</t>
  </si>
  <si>
    <t>EBE7AD85-117F-4781-A5E5-13920EE2B546</t>
  </si>
  <si>
    <t>B822FA7C-5FA5-4F17-A3A6-7199CB00F7F8</t>
  </si>
  <si>
    <t>TR3A</t>
  </si>
  <si>
    <t>1A210C04-C981-4EA4-83B9-A6E76B5B9BDB</t>
  </si>
  <si>
    <t>ECD53BA8-3C63-4938-92C4-C955AEA6C4BC</t>
  </si>
  <si>
    <t>26199C63-95B5-419B-A827-C0EEAF594A5B</t>
  </si>
  <si>
    <t>C9D8FCFE-4A88-479C-A2CA-E2474AF4D8DF</t>
  </si>
  <si>
    <t>05D4115C-3F27-4059-BDC8-C0C3FFC85E8B</t>
  </si>
  <si>
    <t>B503DD91-24FA-4F4A-AF49-1EB15347A33D</t>
  </si>
  <si>
    <t>896B39D5-8040-4947-94D0-0234B4E78B23</t>
  </si>
  <si>
    <t>38264675-F235-412B-9B67-8F8CD86CF40D</t>
  </si>
  <si>
    <t>2657F22B-5D29-4A7A-B3F9-3A04C14D7C93</t>
  </si>
  <si>
    <t>9BFDC1FA-8416-4F58-BE6C-3CCFA7A51860</t>
  </si>
  <si>
    <t>A88F114F-3808-4B2D-92BE-BD43EEA71742</t>
  </si>
  <si>
    <t>1860F37A-EBC7-42E9-B339-3F6D6048322F</t>
  </si>
  <si>
    <t>00E07EB4-4A3A-434F-B3FC-76A312BEEF5D</t>
  </si>
  <si>
    <t>C72ABA1C-D1FA-4A4B-9E16-9FE066D509BA</t>
  </si>
  <si>
    <t>B8F3827A-5689-42B9-A1DE-26AFE7E2343E</t>
  </si>
  <si>
    <t>A21CAFB1-7242-42D1-80AC-E5D26941E2BE</t>
  </si>
  <si>
    <t>76D2E902-DF33-4BE5-8181-B9DA01869131</t>
  </si>
  <si>
    <t>61B73BA2-9EA0-4DB9-8D89-6E8D2A5D32DA</t>
  </si>
  <si>
    <t>8BED3FBE-29EA-48AF-A8CE-7770F51A548F</t>
  </si>
  <si>
    <t>B0559A26-5CE0-4C70-89EC-C73C0837B1E8</t>
  </si>
  <si>
    <t>10500 The Potomac</t>
  </si>
  <si>
    <t>2CE57C5E-98DE-402F-884A-A6227FD7FB5F</t>
  </si>
  <si>
    <t>Clubbing Cars</t>
  </si>
  <si>
    <t>91, Acid Avenue</t>
  </si>
  <si>
    <t>99DF9E69-9DAF-4D81-8334-D7058F1030E2</t>
  </si>
  <si>
    <t>Jean-Yves Truffaut</t>
  </si>
  <si>
    <t>87 Rue du Combat</t>
  </si>
  <si>
    <t>D231E90A-140A-4623-AA79-16970966DDF3</t>
  </si>
  <si>
    <t>Mr. Evan Telford</t>
  </si>
  <si>
    <t>7, Godzilla Street</t>
  </si>
  <si>
    <t>26122425-FE14-4318-8713-15C8F9EED630</t>
  </si>
  <si>
    <t>Ralph Obermann</t>
  </si>
  <si>
    <t>BerolinaStrasse 210</t>
  </si>
  <si>
    <t>80B21E0F-66E3-4582-838A-D7EC560C7C0B</t>
  </si>
  <si>
    <t>8D9BF815-FAE4-47CE-ADBB-33339D382319</t>
  </si>
  <si>
    <t>F6C384B6-B768-4031-AC12-81C8CE37049E</t>
  </si>
  <si>
    <t>F9EF8BCC-5744-4EBC-91AD-739775C597D9</t>
  </si>
  <si>
    <t>457046F9-68AC-468E-9C5E-9C1B957FE9B9</t>
  </si>
  <si>
    <t>3DCFE242-5286-404C-A37E-5207E6F51BB1</t>
  </si>
  <si>
    <t>BF9128E0-D61A-4214-8128-44A9880E20C2</t>
  </si>
  <si>
    <t>808F1237-9F5C-484F-8E14-63FF713A864D</t>
  </si>
  <si>
    <t>790E96BC-2F59-4B8F-9DE2-6BB65F92216B</t>
  </si>
  <si>
    <t>88975E00-70FD-44B6-9A1F-9E3B9CCE4382</t>
  </si>
  <si>
    <t>6218BE0E-185B-4B12-8696-AA976EA81B29</t>
  </si>
  <si>
    <t>03AC7842-CA66-4AC0-92AD-F538494D1FAE</t>
  </si>
  <si>
    <t>7FF88424-96A2-4149-ABF3-21AC9FBCDD4C</t>
  </si>
  <si>
    <t>ImpressTheNeighbours.Com</t>
  </si>
  <si>
    <t>47, Edgbaston Row</t>
  </si>
  <si>
    <t>Cambridge</t>
  </si>
  <si>
    <t>48437CA9-988E-42EA-94F8-DC2D6DA48BA7</t>
  </si>
  <si>
    <t>Wladimir Lacroix</t>
  </si>
  <si>
    <t>3, Rue de la Vie en Rose</t>
  </si>
  <si>
    <t>Alpina</t>
  </si>
  <si>
    <t>2319EA77-F4D9-4E34-9771-C42DCA3E210C</t>
  </si>
  <si>
    <t>A6FCB276-6311-4B3E-9C99-23F197952F1C</t>
  </si>
  <si>
    <t>Raimondo Delattre</t>
  </si>
  <si>
    <t>9, Place de Chatelet</t>
  </si>
  <si>
    <t>89C3293F-F665-4E93-9929-315CBA3DD498</t>
  </si>
  <si>
    <t>Boris Spry</t>
  </si>
  <si>
    <t>53, Odeon Way</t>
  </si>
  <si>
    <t>59650ADF-0886-43B4-B360-3A79E0CA327E</t>
  </si>
  <si>
    <t>Andrea Tarbuck</t>
  </si>
  <si>
    <t>2,Newcastle Lane</t>
  </si>
  <si>
    <t>4BA7F44F-422D-4AD2-84B3-2AE4F0028DB8</t>
  </si>
  <si>
    <t>1DDF23D7-3CB8-49C7-A19B-2A9C5AB23ADF</t>
  </si>
  <si>
    <t>A2201698-CA26-428A-988F-ABB4A8893E21</t>
  </si>
  <si>
    <t>F556C096-7EFE-4827-9AFF-2FD0416B1C9B</t>
  </si>
  <si>
    <t>400GT</t>
  </si>
  <si>
    <t>9868BF47-F113-4721-BF95-26FEF8DD51D2</t>
  </si>
  <si>
    <t>Daytona</t>
  </si>
  <si>
    <t>C7086D43-16DA-444F-A461-76DA9C479425</t>
  </si>
  <si>
    <t>Dino</t>
  </si>
  <si>
    <t>20041639-9549-415A-AEC2-7159352E8CB7</t>
  </si>
  <si>
    <t>AF51E444-D0BE-477F-8834-615824E0A89C</t>
  </si>
  <si>
    <t>FAB39B43-A811-4410-A69A-707C35C767E7</t>
  </si>
  <si>
    <t>A23F2E70-66D3-44A1-982C-ADE1ECA9CC30</t>
  </si>
  <si>
    <t>BFC6861C-8D2E-40C8-A4F7-07F9E41056DC</t>
  </si>
  <si>
    <t>07E4BA14-7B78-4B11-9A11-1520460A5631</t>
  </si>
  <si>
    <t>9E98DDEF-D2A3-4BEC-99DD-BEFEFC11E5EE</t>
  </si>
  <si>
    <t>43195E1A-46B2-4554-B1A9-C849B1C0B53B</t>
  </si>
  <si>
    <t>1750</t>
  </si>
  <si>
    <t>7808CA65-E449-4280-A128-F5B581F47B8F</t>
  </si>
  <si>
    <t>B2D76C72-FA30-40AE-9AB9-DFB47560348C</t>
  </si>
  <si>
    <t>C19B3F44-9EA7-49FF-953A-86BF48B55615</t>
  </si>
  <si>
    <t>A0F4D013-88EB-4692-B5EE-6BA800593036</t>
  </si>
  <si>
    <t>9CD9439F-E15F-4469-BE82-7A4041633A50</t>
  </si>
  <si>
    <t>87A6B5EF-1E2B-49CA-85D7-263BC7E32189</t>
  </si>
  <si>
    <t>Beltway Prestige Driving</t>
  </si>
  <si>
    <t>1, Smithy Close</t>
  </si>
  <si>
    <t>361E0EFF-56B8-4E0A-A1DD-41D4A51BF704</t>
  </si>
  <si>
    <t>Bling Motors</t>
  </si>
  <si>
    <t>2, Arndale Lane</t>
  </si>
  <si>
    <t>B89AF48B-4BB9-409B-876B-941E51D19381</t>
  </si>
  <si>
    <t>A326183E-7D45-4CF2-A353-7177A3EAB71F</t>
  </si>
  <si>
    <t>Smooth Rocking Chrome</t>
  </si>
  <si>
    <t>Via Stromboli 2</t>
  </si>
  <si>
    <t>266404D4-FBC5-4DC6-BB7C-A2ED7246D6D7</t>
  </si>
  <si>
    <t>YO! Speed!</t>
  </si>
  <si>
    <t>Plaza Mayor</t>
  </si>
  <si>
    <t>798C76AF-985B-4B9F-B24A-4B4311AE2A08</t>
  </si>
  <si>
    <t>71C9EDC5-7897-4CCE-9B2F-5B04BEDC36D0</t>
  </si>
  <si>
    <t>61F8CF9A-F53C-4386-9BF8-578F54547CD2</t>
  </si>
  <si>
    <t>FF62897D-E06C-4BC1-B5EA-E6BE415B0CD1</t>
  </si>
  <si>
    <t>Stephany Rousso</t>
  </si>
  <si>
    <t>10180 Orange County Place</t>
  </si>
  <si>
    <t>9555FF33-EE29-4A81-854A-69F6485BB216</t>
  </si>
  <si>
    <t>My Shiny Sports Car Ltd.</t>
  </si>
  <si>
    <t>1091, Cambride Street</t>
  </si>
  <si>
    <t>EA1B19C6-631A-4683-9E29-1BC601FC850E</t>
  </si>
  <si>
    <t>27C180A1-7C39-4E88-B5DE-ACD0C9594F3C</t>
  </si>
  <si>
    <t>A0098927-0C7D-4CC8-8022-57A24433EF61</t>
  </si>
  <si>
    <t>600</t>
  </si>
  <si>
    <t>Trabant</t>
  </si>
  <si>
    <t>9743A284-D059-4EEB-98AB-ACDE88C1E9F5</t>
  </si>
  <si>
    <t>BEC34DF7-3E37-4322-A406-04BB5DF2A0FE</t>
  </si>
  <si>
    <t>F075AC9E-1124-4194-A05F-683F9D553335</t>
  </si>
  <si>
    <t>05F6C06A-9CD8-448B-9F67-FDBC0A7CEDCE</t>
  </si>
  <si>
    <t>B1ABF9BD-1FBC-4E9A-BCCC-0B9AFEE5CFF1</t>
  </si>
  <si>
    <t>Flash Voitures</t>
  </si>
  <si>
    <t>Place Anspach 85</t>
  </si>
  <si>
    <t>607CA291-F642-4CBD-967B-7A36DF45D150</t>
  </si>
  <si>
    <t>695E6D94-12E6-49BC-8E23-29AC3EB38D93</t>
  </si>
  <si>
    <t>Paul Blasio</t>
  </si>
  <si>
    <t>50500 JFK Square</t>
  </si>
  <si>
    <t>Mark V</t>
  </si>
  <si>
    <t>614ED49B-6DA9-4BFE-9560-3DB52A6593CD</t>
  </si>
  <si>
    <t>Mark X</t>
  </si>
  <si>
    <t>740A7CB4-BF3F-46FD-98F3-D85748E5B9BA</t>
  </si>
  <si>
    <t>D0B8D738-B33D-4F7F-BA25-46EC06DEB8E2</t>
  </si>
  <si>
    <t>23FDFA0D-C905-41A6-B95A-D5A3517293D8</t>
  </si>
  <si>
    <t>Mary Blackhouse</t>
  </si>
  <si>
    <t>260, Oxford Avenue</t>
  </si>
  <si>
    <t>6A140D65-C354-48F6-A92E-40FF36CF1216</t>
  </si>
  <si>
    <t>Maurice Dujardin</t>
  </si>
  <si>
    <t>10, Daltrey Lane</t>
  </si>
  <si>
    <t>4AFC6EDF-49EA-4D57-85AF-D60734328922</t>
  </si>
  <si>
    <t>EF8621F7-41EB-4C2D-ADBD-D4287083D41F</t>
  </si>
  <si>
    <t>E66B3E09-F02D-484A-8B9F-A8CD7833CD6B</t>
  </si>
  <si>
    <t>Leslie Whittington</t>
  </si>
  <si>
    <t>17, Mercury Street</t>
  </si>
  <si>
    <t>13F9FBD7-9342-4A2D-A249-E3AD6AE9A9CB</t>
  </si>
  <si>
    <t>Mike Beeton</t>
  </si>
  <si>
    <t>Green Plaza Place</t>
  </si>
  <si>
    <t>E68BB825-0487-44CA-AE6C-7C650F81E22B</t>
  </si>
  <si>
    <t>519C0ED1-7611-4CDC-8153-5C4B81A7FD0F</t>
  </si>
  <si>
    <t>Plus 4</t>
  </si>
  <si>
    <t>Morgan</t>
  </si>
  <si>
    <t>3CD0AFE8-9909-4A5D-BA9F-5C1F71B0DEE3</t>
  </si>
  <si>
    <t>Melissa Bertrand</t>
  </si>
  <si>
    <t>7, Westlands Street</t>
  </si>
  <si>
    <t>M14</t>
  </si>
  <si>
    <t>114760E3-FC54-4C31-B323-BC4B83AB80D0</t>
  </si>
  <si>
    <t>El Sport</t>
  </si>
  <si>
    <t>Plaza San Andres</t>
  </si>
  <si>
    <t>757E7DB7-3688-41FD-AFB6-E49CC56BCCD8</t>
  </si>
  <si>
    <t>BA123B46-B5DF-439B-9326-82174419FC14</t>
  </si>
  <si>
    <t>FCB80D65-7D65-41E4-9081-6C92D0C7F1F5</t>
  </si>
  <si>
    <t>Bling Bling S.A.</t>
  </si>
  <si>
    <t>7, Place de la Richesse</t>
  </si>
  <si>
    <t>0318C525-58CA-438E-A5A5-BA854855A664</t>
  </si>
  <si>
    <t>Bravissima!</t>
  </si>
  <si>
    <t>Via Rosso, 34</t>
  </si>
  <si>
    <t>17FA511D-1C85-4F74-A164-B4EE39F48565</t>
  </si>
  <si>
    <t>Jayden Jones</t>
  </si>
  <si>
    <t>10500 Lincoln Square</t>
  </si>
  <si>
    <t>4B47A26E-2723-4E06-A661-21271A6759D0</t>
  </si>
  <si>
    <t>47572651-C884-4C1D-A433-E8641A1A1172</t>
  </si>
  <si>
    <t>2A27FF01-DC3C-4FE2-AC8C-9145C29F651C</t>
  </si>
  <si>
    <t>F4443E46-3EAC-4C10-902C-71257DEEE229</t>
  </si>
  <si>
    <t>4EE854BF-A9DD-453B-815E-E0692A75A969</t>
  </si>
  <si>
    <t>Expensive Shine</t>
  </si>
  <si>
    <t>89, Abbots Lane</t>
  </si>
  <si>
    <t>3D2E9AD0-972B-4A09-895F-1833655CFB21</t>
  </si>
  <si>
    <t>Steve Docherty</t>
  </si>
  <si>
    <t>5, Albermarle Avenue</t>
  </si>
  <si>
    <t>480D88A9-B1E5-4A79-9D2C-C1050C6DA00A</t>
  </si>
  <si>
    <t>Rodolph Legler</t>
  </si>
  <si>
    <t>SingerStrasse 89</t>
  </si>
  <si>
    <t>Mulsanne</t>
  </si>
  <si>
    <t>EE92EE4A-977E-4BC6-BEFF-512CC468944C</t>
  </si>
  <si>
    <t>B8498BEE-D1C5-4D93-981F-640031A3AE6C</t>
  </si>
  <si>
    <t>A44EE0A0-B924-4B29-9C05-BA4BFADE084B</t>
  </si>
  <si>
    <t>C8C871B4-F08D-445A-BCD1-ACFEC616A113</t>
  </si>
  <si>
    <t>47693731-F213-4E60-97D6-115A7BD83259</t>
  </si>
  <si>
    <t>73FB2744-5AD9-42DC-A29C-B9B2FEF8353C</t>
  </si>
  <si>
    <t>DB742D0B-E562-41F4-AC94-8C58C2B0B69C</t>
  </si>
  <si>
    <t>51784E0D-09DB-4A40-8E92-CB09A0DE4444</t>
  </si>
  <si>
    <t>Pete Spring</t>
  </si>
  <si>
    <t>53, Pimlico Square</t>
  </si>
  <si>
    <t>1A861C29-F198-4D34-BDAF-B35E8080320A</t>
  </si>
  <si>
    <t>Khader El Ghannam</t>
  </si>
  <si>
    <t>10, rue de Jemappes</t>
  </si>
  <si>
    <t>Traaction Avant</t>
  </si>
  <si>
    <t>D0F51768-8924-4EF5-A3E9-B31AC7129BFB</t>
  </si>
  <si>
    <t>135</t>
  </si>
  <si>
    <t>E8FF8444-2B18-45A0-84AC-F776755E06ED</t>
  </si>
  <si>
    <t>A3E788F8-889C-45E1-A610-881983869F6B</t>
  </si>
  <si>
    <t>175</t>
  </si>
  <si>
    <t>C8F49B5E-EDDB-42D0-BE0F-8C4181A6C81D</t>
  </si>
  <si>
    <t>500</t>
  </si>
  <si>
    <t>1D5C9493-4BA2-415A-B4D6-7079278CA2DC</t>
  </si>
  <si>
    <t>0A059F54-46DE-4A25-8B5D-D7373AEE6F91</t>
  </si>
  <si>
    <t>6AE8BA09-AE75-4CA4-81EE-6CD2B3947120</t>
  </si>
  <si>
    <t>Jacques Mitterand</t>
  </si>
  <si>
    <t>1 Quai des Pertes</t>
  </si>
  <si>
    <t>3BDD9316-9359-464B-B98E-308494AD3056</t>
  </si>
  <si>
    <t>Francoise LeBrun</t>
  </si>
  <si>
    <t>56, Rue Verte</t>
  </si>
  <si>
    <t>3C17F01C-25FF-463B-86AA-1A34FEA02FF2</t>
  </si>
  <si>
    <t>0E2AECED-5A41-412A-9414-DE7217C0B6EB</t>
  </si>
  <si>
    <t>91B4067A-EBDE-4C1E-9370-3E894FD2FD7D</t>
  </si>
  <si>
    <t>Alex McWhirter</t>
  </si>
  <si>
    <t>89, Harlequin Road</t>
  </si>
  <si>
    <t>436E43FB-E015-48E4-B549-33F4A0EE8D3F</t>
  </si>
  <si>
    <t>Francois Chirac</t>
  </si>
  <si>
    <t>2, Quai de l'Enfer</t>
  </si>
  <si>
    <t>E166158C-F3BA-47DE-A499-A703210CF128</t>
  </si>
  <si>
    <t>Andy Cheshire</t>
  </si>
  <si>
    <t>7, Wedgewood Steet</t>
  </si>
  <si>
    <t>1C9E6944-A890-4D7B-8F98-32B7276A78B3</t>
  </si>
  <si>
    <t>7461FB42-ECE2-4C8C-BDBB-EF26AF3069F9</t>
  </si>
  <si>
    <t>98828061-0C7A-42C2-95D0-3095AD2EF0E4</t>
  </si>
  <si>
    <t>E519F3CF-BE4B-44CF-98D5-80EC33EC6CE1</t>
  </si>
  <si>
    <t>E6923E8C-C07A-430F-B80D-7D5F329055AB</t>
  </si>
  <si>
    <t>0487C263-79B7-4F2B-8D0E-B0BAA41D7F24</t>
  </si>
  <si>
    <t>92FDF39E-6565-4B68-80BA-02ED30F00A7E</t>
  </si>
  <si>
    <t>5D7C9AA9-F0C7-4F8E-8524-6481BE3CC62E</t>
  </si>
  <si>
    <t>CD2E20D3-1A10-4460-AC3B-FAC658F5F6F4</t>
  </si>
  <si>
    <t>3C384AE3-7F59-4CD6-BAFE-5E6EFFD25FAD</t>
  </si>
  <si>
    <t>6556A473-CE18-428F-8F33-955E80FBA888</t>
  </si>
  <si>
    <t>F166C930-3101-42E9-8AE8-189F47FA0014</t>
  </si>
  <si>
    <t>2E0E8003-F9CC-486D-9D08-D4DAC688C800</t>
  </si>
  <si>
    <t>C2623FF4-88AA-40E9-AF3B-8D009C25027B</t>
  </si>
  <si>
    <t>C7569243-BDDB-4250-901E-EA6034824106</t>
  </si>
  <si>
    <t>Day</t>
  </si>
  <si>
    <t>Row Labels</t>
  </si>
  <si>
    <t>Grand Total</t>
  </si>
  <si>
    <t>Jan</t>
  </si>
  <si>
    <t>Feb</t>
  </si>
  <si>
    <t>Mar</t>
  </si>
  <si>
    <t>Apr</t>
  </si>
  <si>
    <t>May</t>
  </si>
  <si>
    <t>Jun</t>
  </si>
  <si>
    <t>Jul</t>
  </si>
  <si>
    <t>Aug</t>
  </si>
  <si>
    <t>Sep</t>
  </si>
  <si>
    <t>Oct</t>
  </si>
  <si>
    <t>Nov</t>
  </si>
  <si>
    <t>Dec</t>
  </si>
  <si>
    <t>Sum of PROFIT</t>
  </si>
  <si>
    <t>Sum of TotalSalePrice</t>
  </si>
  <si>
    <t>Sum of Total Cost</t>
  </si>
  <si>
    <t>margin</t>
  </si>
  <si>
    <t>top</t>
  </si>
  <si>
    <t>ss</t>
  </si>
  <si>
    <t>Sum of ss</t>
  </si>
  <si>
    <t>Sum of SalePrice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</si>
</sst>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44" formatCode="_(&quot;$&quot;* #,##0.00_);_(&quot;$&quot;* \(#,##0.00\);_(&quot;$&quot;* &quot;-&quot;??_);_(@_)"/>
    <numFmt numFmtId="164" formatCode="yyyy\-mm\-dd\ hh:mm:ss"/>
    <numFmt numFmtId="166" formatCode="0.0%"/>
  </numFmts>
  <fonts count="4" x14ac:knownFonts="1">
    <font>
      <sz val="11"/>
      <color theme="1"/>
      <name val="Calibri"/>
      <family val="2"/>
      <scheme val="minor"/>
    </font>
    <font>
      <b/>
      <sz val="11"/>
      <name val="Calibri"/>
      <family val="2"/>
    </font>
    <font>
      <sz val="11"/>
      <color theme="1"/>
      <name val="Calibri"/>
      <family val="2"/>
      <scheme val="minor"/>
    </font>
    <font>
      <b/>
      <sz val="11"/>
      <name val="Calibri"/>
    </font>
  </fonts>
  <fills count="3">
    <fill>
      <patternFill patternType="none"/>
    </fill>
    <fill>
      <patternFill patternType="gray125"/>
    </fill>
    <fill>
      <patternFill patternType="solid">
        <fgColor rgb="FFF0F2F5"/>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3">
    <xf numFmtId="0" fontId="0" fillId="0" borderId="0"/>
    <xf numFmtId="44" fontId="2" fillId="0" borderId="0" applyFont="0" applyFill="0" applyBorder="0" applyAlignment="0" applyProtection="0"/>
    <xf numFmtId="9" fontId="2" fillId="0" borderId="0" applyFont="0" applyFill="0" applyBorder="0" applyAlignment="0" applyProtection="0"/>
  </cellStyleXfs>
  <cellXfs count="13">
    <xf numFmtId="0" fontId="0" fillId="0" borderId="0" xfId="0"/>
    <xf numFmtId="0" fontId="1" fillId="0" borderId="1" xfId="0" applyFont="1" applyBorder="1" applyAlignment="1">
      <alignment horizontal="center" vertical="top"/>
    </xf>
    <xf numFmtId="164" fontId="0" fillId="0" borderId="0" xfId="0" applyNumberFormat="1"/>
    <xf numFmtId="0" fontId="1" fillId="0" borderId="2" xfId="0" applyFont="1" applyFill="1" applyBorder="1" applyAlignment="1">
      <alignment horizontal="center" vertical="top"/>
    </xf>
    <xf numFmtId="0" fontId="0" fillId="0" borderId="0" xfId="0" pivotButton="1"/>
    <xf numFmtId="164" fontId="0" fillId="0" borderId="0" xfId="0" applyNumberFormat="1" applyAlignment="1">
      <alignment horizontal="left"/>
    </xf>
    <xf numFmtId="0" fontId="0" fillId="0" borderId="0" xfId="0" applyAlignment="1">
      <alignment horizontal="left"/>
    </xf>
    <xf numFmtId="0" fontId="0" fillId="0" borderId="0" xfId="0" applyNumberFormat="1"/>
    <xf numFmtId="0" fontId="0" fillId="2" borderId="0" xfId="0" applyFill="1"/>
    <xf numFmtId="44" fontId="0" fillId="2" borderId="0" xfId="1" applyFont="1" applyFill="1"/>
    <xf numFmtId="166" fontId="0" fillId="2" borderId="0" xfId="2" applyNumberFormat="1" applyFont="1" applyFill="1"/>
    <xf numFmtId="4" fontId="3" fillId="0" borderId="2" xfId="0" applyNumberFormat="1" applyFont="1" applyFill="1" applyBorder="1" applyAlignment="1">
      <alignment horizontal="center" vertical="top"/>
    </xf>
    <xf numFmtId="4" fontId="0" fillId="0" borderId="0" xfId="0" applyNumberFormat="1"/>
  </cellXfs>
  <cellStyles count="3">
    <cellStyle name="Currency" xfId="1" builtinId="4"/>
    <cellStyle name="Normal" xfId="0" builtinId="0"/>
    <cellStyle name="Percent" xfId="2" builtinId="5"/>
  </cellStyles>
  <dxfs count="8">
    <dxf>
      <numFmt numFmtId="4" formatCode="#,##0.00"/>
    </dxf>
    <dxf>
      <numFmt numFmtId="164" formatCode="yyyy\-mm\-dd\ hh:mm:ss"/>
    </dxf>
    <dxf>
      <numFmt numFmtId="164" formatCode="yyyy\-mm\-dd\ hh:mm:ss"/>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font>
        <b/>
        <i val="0"/>
        <sz val="11"/>
        <color rgb="FF1B365D"/>
        <name val="Calibri"/>
        <scheme val="minor"/>
      </font>
      <fill>
        <patternFill patternType="none">
          <bgColor auto="1"/>
        </patternFill>
      </fill>
    </dxf>
    <dxf>
      <font>
        <b/>
        <i val="0"/>
        <sz val="11"/>
        <name val="Calibri"/>
        <scheme val="minor"/>
      </font>
      <fill>
        <patternFill patternType="solid">
          <fgColor theme="0"/>
          <bgColor rgb="FFF0F4F8"/>
        </patternFill>
      </fill>
      <border diagonalUp="0" diagonalDown="0">
        <left/>
        <right/>
        <top/>
        <bottom/>
        <vertical/>
        <horizontal/>
      </border>
    </dxf>
    <dxf>
      <font>
        <b/>
        <i val="0"/>
        <sz val="11"/>
        <color rgb="FF1B365D"/>
        <name val="Calibri"/>
        <scheme val="minor"/>
      </font>
      <fill>
        <patternFill>
          <bgColor rgb="FFF0F4F8"/>
        </patternFill>
      </fill>
      <border diagonalUp="0" diagonalDown="0">
        <left/>
        <right/>
        <top/>
        <bottom/>
        <vertical/>
        <horizontal/>
      </border>
    </dxf>
    <dxf>
      <font>
        <b/>
        <i val="0"/>
        <sz val="11"/>
        <name val="Calibri"/>
        <scheme val="minor"/>
      </font>
      <fill>
        <patternFill>
          <bgColor rgb="FFF0F4F8"/>
        </patternFill>
      </fill>
      <border diagonalUp="0" diagonalDown="0">
        <left/>
        <right/>
        <top/>
        <bottom/>
        <vertical/>
        <horizontal/>
      </border>
    </dxf>
  </dxfs>
  <tableStyles count="2" defaultTableStyle="TableStyleMedium9" defaultPivotStyle="PivotStyleLight16">
    <tableStyle name="Slicer Style 1" pivot="0" table="0" count="10">
      <tableStyleElement type="wholeTable" dxfId="7"/>
      <tableStyleElement type="headerRow" dxfId="6"/>
    </tableStyle>
    <tableStyle name="Timeline Style 1" pivot="0" table="0" count="8">
      <tableStyleElement type="wholeTable" dxfId="5"/>
      <tableStyleElement type="headerRow" dxfId="4"/>
    </tableStyle>
  </tableStyles>
  <colors>
    <mruColors>
      <color rgb="FF1B365D"/>
      <color rgb="FF4AACC5"/>
      <color rgb="FF595959"/>
      <color rgb="FFF8F9FA"/>
      <color rgb="FF808080"/>
      <color rgb="FFF0F4F8"/>
      <color rgb="FF318197"/>
      <color rgb="FFC5AC4A"/>
      <color rgb="FFFFFFFF"/>
      <color rgb="FFF8F4F0"/>
    </mruColors>
  </colors>
  <extLst>
    <ext xmlns:x14="http://schemas.microsoft.com/office/spreadsheetml/2009/9/main" uri="{46F421CA-312F-682f-3DD2-61675219B42D}">
      <x14:dxfs count="8">
        <dxf>
          <fill>
            <patternFill>
              <bgColor rgb="FF318197"/>
            </patternFill>
          </fill>
        </dxf>
        <dxf>
          <fill>
            <patternFill>
              <bgColor rgb="FF318197"/>
            </patternFill>
          </fill>
        </dxf>
        <dxf>
          <fill>
            <patternFill>
              <bgColor rgb="FF318197"/>
            </patternFill>
          </fill>
        </dxf>
        <dxf>
          <fill>
            <patternFill>
              <bgColor rgb="FF318197"/>
            </patternFill>
          </fill>
        </dxf>
        <dxf>
          <font>
            <b val="0"/>
            <i val="0"/>
            <color theme="0"/>
            <name val="Calibri"/>
            <scheme val="minor"/>
          </font>
          <fill>
            <patternFill>
              <bgColor rgb="FF4AACC5"/>
            </patternFill>
          </fill>
        </dxf>
        <dxf>
          <font>
            <b val="0"/>
            <i val="0"/>
            <color theme="0"/>
            <name val="Calibri"/>
            <scheme val="minor"/>
          </font>
          <fill>
            <patternFill>
              <bgColor rgb="FF4AACC5"/>
            </patternFill>
          </fill>
        </dxf>
        <dxf>
          <font>
            <color theme="0" tint="-0.24994659260841701"/>
          </font>
          <fill>
            <patternFill>
              <bgColor theme="0" tint="-0.14996795556505021"/>
            </patternFill>
          </fill>
        </dxf>
        <dxf>
          <font>
            <color theme="0" tint="-0.24994659260841701"/>
          </font>
          <fill>
            <patternFill>
              <bgColor theme="0" tint="-0.14996795556505021"/>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A0A4C193-F2C1-4fcb-8827-314CF55A85BB}">
      <x15:dxfs count="6">
        <dxf>
          <fill>
            <patternFill patternType="solid">
              <fgColor theme="0" tint="-0.14999847407452621"/>
              <bgColor theme="0" tint="-0.14999847407452621"/>
            </patternFill>
          </fill>
          <border diagonalUp="0" diagonalDown="0">
            <left/>
            <right/>
            <top/>
            <bottom/>
            <vertical/>
            <horizontal/>
          </border>
        </dxf>
        <dxf>
          <fill>
            <patternFill patternType="solid">
              <fgColor theme="0"/>
              <bgColor rgb="FF4AACC5"/>
            </patternFill>
          </fill>
          <border diagonalUp="0" diagonalDown="0">
            <left/>
            <right/>
            <top/>
            <bottom/>
            <vertical/>
            <horizontal/>
          </border>
        </dxf>
        <dxf>
          <font>
            <sz val="9"/>
            <color theme="1" tint="0.499984740745262"/>
          </font>
        </dxf>
        <dxf>
          <font>
            <sz val="9"/>
            <color theme="1" tint="0.499984740745262"/>
          </font>
        </dxf>
        <dxf>
          <font>
            <b val="0"/>
            <i val="0"/>
            <sz val="9"/>
            <color rgb="FF808080"/>
            <name val="Calibri"/>
            <scheme val="minor"/>
          </font>
        </dxf>
        <dxf>
          <font>
            <b/>
            <i val="0"/>
            <sz val="10"/>
            <color rgb="FF4AACC5"/>
            <name val="Calibri"/>
            <scheme val="minor"/>
          </font>
        </dxf>
      </x15:dxfs>
    </ext>
    <ext xmlns:x15="http://schemas.microsoft.com/office/spreadsheetml/2010/11/main" uri="{9260A510-F301-46a8-8635-F512D64BE5F5}">
      <x15:timelineStyles defaultTimelineStyle="TimeSlicerStyleLight1">
        <x15:timelineStyle name="Timeline Style 1">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microsoft.com/office/2011/relationships/timelineCache" Target="timelineCaches/timelineCache1.xml"/><Relationship Id="rId10" Type="http://schemas.openxmlformats.org/officeDocument/2006/relationships/pivotCacheDefinition" Target="pivotCache/pivotCacheDefinition1.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[cleaned_Prestige Cars (Autosaved).xlsx]total sale by date!total sale by date</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solidFill>
            <a:schemeClr val="accent1"/>
          </a:solidFill>
          <a:ln w="28575" cap="rnd">
            <a:solidFill>
              <a:schemeClr val="accent1"/>
            </a:solidFill>
            <a:round/>
          </a:ln>
          <a:effectLst/>
        </c:spPr>
        <c:marker>
          <c:symbol val="none"/>
        </c:marker>
      </c:pivotFmt>
      <c:pivotFmt>
        <c:idx val="3"/>
        <c:spPr>
          <a:solidFill>
            <a:schemeClr val="accent1"/>
          </a:solidFill>
          <a:ln w="28575" cap="rnd">
            <a:solidFill>
              <a:schemeClr val="accent1"/>
            </a:solidFill>
            <a:round/>
          </a:ln>
          <a:effectLst/>
        </c:spPr>
        <c:marker>
          <c:symbol val="none"/>
        </c:marker>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s>
    <c:plotArea>
      <c:layout/>
      <c:lineChart>
        <c:grouping val="stacked"/>
        <c:varyColors val="0"/>
        <c:ser>
          <c:idx val="0"/>
          <c:order val="0"/>
          <c:tx>
            <c:strRef>
              <c:f>'total sale by date'!$B$3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'total sale by date'!$A$4:$A$16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'total sale by date'!$B$4:$B$16</c:f>
              <c:numCache>
                <c:formatCode>General</c:formatCode>
                <c:ptCount val="12"/>
                <c:pt idx="0">
                  <c:v>2133210.1</c:v>
                </c:pt>
                <c:pt idx="1">
                  <c:v>2365080</c:v>
                </c:pt>
                <c:pt idx="2">
                  <c:v>2926161.1</c:v>
                </c:pt>
                <c:pt idx="3">
                  <c:v>2515435</c:v>
                </c:pt>
                <c:pt idx="4">
                  <c:v>3219445</c:v>
                </c:pt>
                <c:pt idx="5">
                  <c:v>1082175</c:v>
                </c:pt>
                <c:pt idx="6">
                  <c:v>2677205</c:v>
                </c:pt>
                <c:pt idx="7">
                  <c:v>2063545</c:v>
                </c:pt>
                <c:pt idx="8">
                  <c:v>1844495</c:v>
                </c:pt>
                <c:pt idx="9">
                  <c:v>1229580</c:v>
                </c:pt>
                <c:pt idx="10">
                  <c:v>805230</c:v>
                </c:pt>
                <c:pt idx="11">
                  <c:v>2376530</c:v>
                </c:pt>
              </c:numCache>
            </c:numRef>
          </c:val>
          <c:smooth val="0"/>
          <c:extLst>
            <c:ext xmlns:c16="http://schemas.microsoft.com/office/drawing/2014/chart" uri="{C3380CC4-5D6E-409C-BE32-E72D297353CC}">
              <c16:uniqueId val="{00000000-6C30-4375-95A6-79FA82862C96}"/>
            </c:ext>
          </c:extLst>
        </c:ser>
        <c:dLbls>
          <c:showLegendKey val="0"/>
          <c:showVal val="0"/>
          <c:showCatName val="0"/>
          <c:showSerName val="0"/>
          <c:showPercent val="0"/>
          <c:showBubbleSize val="0"/>
        </c:dLbls>
        <c:marker val="1"/>
        <c:smooth val="0"/>
        <c:axId val="782159247"/>
        <c:axId val="782167983"/>
      </c:lineChart>
      <c:catAx>
        <c:axId val="7821592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2167983"/>
        <c:crosses val="autoZero"/>
        <c:auto val="1"/>
        <c:lblAlgn val="ctr"/>
        <c:lblOffset val="100"/>
        <c:noMultiLvlLbl val="0"/>
      </c:catAx>
      <c:valAx>
        <c:axId val="7821679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21592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[cleaned_Prestige Cars (Autosaved).xlsx]region by sales!PivotTable2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dLbl>
          <c:idx val="0"/>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s>
    <c:plotArea>
      <c:layout/>
      <c:doughnutChart>
        <c:varyColors val="1"/>
        <c:ser>
          <c:idx val="0"/>
          <c:order val="0"/>
          <c:tx>
            <c:strRef>
              <c:f>'region by sales'!$B$3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B39-493B-B4E2-7A25A0EAB89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B39-493B-B4E2-7A25A0EAB895}"/>
              </c:ext>
            </c:extLst>
          </c:dPt>
          <c:dLbls>
            <c:delete val="1"/>
          </c:dLbls>
          <c:cat>
            <c:strRef>
              <c:f>'region by sales'!$A$4:$A$6</c:f>
              <c:strCache>
                <c:ptCount val="2"/>
                <c:pt idx="0">
                  <c:v>EMEA</c:v>
                </c:pt>
                <c:pt idx="1">
                  <c:v>North America</c:v>
                </c:pt>
              </c:strCache>
            </c:strRef>
          </c:cat>
          <c:val>
            <c:numRef>
              <c:f>'region by sales'!$B$4:$B$6</c:f>
              <c:numCache>
                <c:formatCode>General</c:formatCode>
                <c:ptCount val="2"/>
                <c:pt idx="0">
                  <c:v>23242471.199999999</c:v>
                </c:pt>
                <c:pt idx="1">
                  <c:v>1995620</c:v>
                </c:pt>
              </c:numCache>
            </c:numRef>
          </c:val>
          <c:extLst>
            <c:ext xmlns:c16="http://schemas.microsoft.com/office/drawing/2014/chart" uri="{C3380CC4-5D6E-409C-BE32-E72D297353CC}">
              <c16:uniqueId val="{00000000-77E3-4D30-A1DD-7874AD65DA3C}"/>
            </c:ext>
          </c:extLst>
        </c:ser>
        <c:dLbls>
          <c:showLegendKey val="0"/>
          <c:showVal val="0"/>
          <c:showCatName val="0"/>
          <c:showSerName val="0"/>
          <c:showPercent val="1"/>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[cleaned_Prestige Cars (Autosaved).xlsx]top 5 by profit!PivotTable3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bar"/>
        <c:grouping val="stacked"/>
        <c:varyColors val="0"/>
        <c:ser>
          <c:idx val="0"/>
          <c:order val="0"/>
          <c:tx>
            <c:strRef>
              <c:f>'top 5 by profit'!$B$3</c:f>
              <c:strCache>
                <c:ptCount val="1"/>
                <c:pt idx="0">
                  <c:v>Total</c:v>
                </c:pt>
              </c:strCache>
            </c:strRef>
          </c:tx>
          <c:spPr>
            <a:solidFill>
              <a:schemeClr val="accent1"/>
            </a:solidFill>
            <a:ln>
              <a:noFill/>
            </a:ln>
            <a:effectLst/>
          </c:spPr>
          <c:invertIfNegative val="0"/>
          <c:cat>
            <c:strRef>
              <c:f>'top 5 by profit'!$A$4:$A$9</c:f>
              <c:strCache>
                <c:ptCount val="5"/>
                <c:pt idx="0">
                  <c:v>Porsche</c:v>
                </c:pt>
                <c:pt idx="1">
                  <c:v>Lamborghini</c:v>
                </c:pt>
                <c:pt idx="2">
                  <c:v>Triumph</c:v>
                </c:pt>
                <c:pt idx="3">
                  <c:v>Aston Martin</c:v>
                </c:pt>
                <c:pt idx="4">
                  <c:v>Ferrari</c:v>
                </c:pt>
              </c:strCache>
            </c:strRef>
          </c:cat>
          <c:val>
            <c:numRef>
              <c:f>'top 5 by profit'!$B$4:$B$9</c:f>
              <c:numCache>
                <c:formatCode>General</c:formatCode>
                <c:ptCount val="5"/>
                <c:pt idx="0">
                  <c:v>436503</c:v>
                </c:pt>
                <c:pt idx="1">
                  <c:v>515520</c:v>
                </c:pt>
                <c:pt idx="2">
                  <c:v>691532</c:v>
                </c:pt>
                <c:pt idx="3">
                  <c:v>1306107.1000000001</c:v>
                </c:pt>
                <c:pt idx="4">
                  <c:v>1373245.1</c:v>
                </c:pt>
              </c:numCache>
            </c:numRef>
          </c:val>
          <c:extLst>
            <c:ext xmlns:c16="http://schemas.microsoft.com/office/drawing/2014/chart" uri="{C3380CC4-5D6E-409C-BE32-E72D297353CC}">
              <c16:uniqueId val="{00000000-4425-4E61-9A68-36ECA7F43986}"/>
            </c:ext>
          </c:extLst>
        </c:ser>
        <c:dLbls>
          <c:showLegendKey val="0"/>
          <c:showVal val="0"/>
          <c:showCatName val="0"/>
          <c:showSerName val="0"/>
          <c:showPercent val="0"/>
          <c:showBubbleSize val="0"/>
        </c:dLbls>
        <c:gapWidth val="150"/>
        <c:overlap val="100"/>
        <c:axId val="663879247"/>
        <c:axId val="663882159"/>
      </c:barChart>
      <c:catAx>
        <c:axId val="66387924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3882159"/>
        <c:crosses val="autoZero"/>
        <c:auto val="1"/>
        <c:lblAlgn val="ctr"/>
        <c:lblOffset val="100"/>
        <c:noMultiLvlLbl val="0"/>
      </c:catAx>
      <c:valAx>
        <c:axId val="66388215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38792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[cleaned_Prestige Cars (Autosaved).xlsx]profit by country!PivotTable5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col"/>
        <c:grouping val="stacked"/>
        <c:varyColors val="0"/>
        <c:ser>
          <c:idx val="0"/>
          <c:order val="0"/>
          <c:tx>
            <c:strRef>
              <c:f>'profit by country'!$B$3</c:f>
              <c:strCache>
                <c:ptCount val="1"/>
                <c:pt idx="0">
                  <c:v>Total</c:v>
                </c:pt>
              </c:strCache>
            </c:strRef>
          </c:tx>
          <c:spPr>
            <a:solidFill>
              <a:schemeClr val="accent1"/>
            </a:solidFill>
            <a:ln>
              <a:noFill/>
            </a:ln>
            <a:effectLst/>
          </c:spPr>
          <c:invertIfNegative val="0"/>
          <c:cat>
            <c:strRef>
              <c:f>'profit by country'!$A$4:$A$12</c:f>
              <c:strCache>
                <c:ptCount val="8"/>
                <c:pt idx="0">
                  <c:v>Belgium</c:v>
                </c:pt>
                <c:pt idx="1">
                  <c:v>Italy</c:v>
                </c:pt>
                <c:pt idx="2">
                  <c:v>Germany</c:v>
                </c:pt>
                <c:pt idx="3">
                  <c:v>Switzerland</c:v>
                </c:pt>
                <c:pt idx="4">
                  <c:v>United States</c:v>
                </c:pt>
                <c:pt idx="5">
                  <c:v>Spain</c:v>
                </c:pt>
                <c:pt idx="6">
                  <c:v>France</c:v>
                </c:pt>
                <c:pt idx="7">
                  <c:v>United Kingdom</c:v>
                </c:pt>
              </c:strCache>
            </c:strRef>
          </c:cat>
          <c:val>
            <c:numRef>
              <c:f>'profit by country'!$B$4:$B$12</c:f>
              <c:numCache>
                <c:formatCode>General</c:formatCode>
                <c:ptCount val="8"/>
                <c:pt idx="0">
                  <c:v>168193</c:v>
                </c:pt>
                <c:pt idx="1">
                  <c:v>180392</c:v>
                </c:pt>
                <c:pt idx="2">
                  <c:v>209953</c:v>
                </c:pt>
                <c:pt idx="3">
                  <c:v>238578</c:v>
                </c:pt>
                <c:pt idx="4">
                  <c:v>303472</c:v>
                </c:pt>
                <c:pt idx="5">
                  <c:v>1083017</c:v>
                </c:pt>
                <c:pt idx="6">
                  <c:v>1601117</c:v>
                </c:pt>
                <c:pt idx="7">
                  <c:v>2730227.2</c:v>
                </c:pt>
              </c:numCache>
            </c:numRef>
          </c:val>
          <c:extLst>
            <c:ext xmlns:c16="http://schemas.microsoft.com/office/drawing/2014/chart" uri="{C3380CC4-5D6E-409C-BE32-E72D297353CC}">
              <c16:uniqueId val="{00000000-F12A-4D14-895C-1F9D24D0C530}"/>
            </c:ext>
          </c:extLst>
        </c:ser>
        <c:dLbls>
          <c:showLegendKey val="0"/>
          <c:showVal val="0"/>
          <c:showCatName val="0"/>
          <c:showSerName val="0"/>
          <c:showPercent val="0"/>
          <c:showBubbleSize val="0"/>
        </c:dLbls>
        <c:gapWidth val="150"/>
        <c:overlap val="100"/>
        <c:axId val="663864687"/>
        <c:axId val="663878415"/>
      </c:barChart>
      <c:catAx>
        <c:axId val="6638646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3878415"/>
        <c:crosses val="autoZero"/>
        <c:auto val="1"/>
        <c:lblAlgn val="ctr"/>
        <c:lblOffset val="100"/>
        <c:noMultiLvlLbl val="0"/>
      </c:catAx>
      <c:valAx>
        <c:axId val="6638784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38646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[cleaned_Prestige Cars (Autosaved).xlsx]top 5by cost!PivotTable6</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s>
    <c:plotArea>
      <c:layout/>
      <c:barChart>
        <c:barDir val="bar"/>
        <c:grouping val="stacked"/>
        <c:varyColors val="0"/>
        <c:ser>
          <c:idx val="0"/>
          <c:order val="0"/>
          <c:tx>
            <c:strRef>
              <c:f>'top 5by cost'!$B$3</c:f>
              <c:strCache>
                <c:ptCount val="1"/>
                <c:pt idx="0">
                  <c:v>Total</c:v>
                </c:pt>
              </c:strCache>
            </c:strRef>
          </c:tx>
          <c:spPr>
            <a:solidFill>
              <a:schemeClr val="accent1"/>
            </a:solidFill>
            <a:ln>
              <a:noFill/>
            </a:ln>
            <a:effectLst/>
          </c:spPr>
          <c:invertIfNegative val="0"/>
          <c:cat>
            <c:strRef>
              <c:f>'top 5by cost'!$A$4:$A$9</c:f>
              <c:strCache>
                <c:ptCount val="5"/>
                <c:pt idx="0">
                  <c:v>Bentley</c:v>
                </c:pt>
                <c:pt idx="1">
                  <c:v>Lamborghini</c:v>
                </c:pt>
                <c:pt idx="2">
                  <c:v>Bugatti</c:v>
                </c:pt>
                <c:pt idx="3">
                  <c:v>Aston Martin</c:v>
                </c:pt>
                <c:pt idx="4">
                  <c:v>Ferrari</c:v>
                </c:pt>
              </c:strCache>
            </c:strRef>
          </c:cat>
          <c:val>
            <c:numRef>
              <c:f>'top 5by cost'!$B$4:$B$9</c:f>
              <c:numCache>
                <c:formatCode>General</c:formatCode>
                <c:ptCount val="5"/>
                <c:pt idx="0">
                  <c:v>1412612</c:v>
                </c:pt>
                <c:pt idx="1">
                  <c:v>1447580</c:v>
                </c:pt>
                <c:pt idx="2">
                  <c:v>1592157</c:v>
                </c:pt>
                <c:pt idx="3">
                  <c:v>4359219</c:v>
                </c:pt>
                <c:pt idx="4">
                  <c:v>4687155</c:v>
                </c:pt>
              </c:numCache>
            </c:numRef>
          </c:val>
          <c:extLst>
            <c:ext xmlns:c16="http://schemas.microsoft.com/office/drawing/2014/chart" uri="{C3380CC4-5D6E-409C-BE32-E72D297353CC}">
              <c16:uniqueId val="{00000000-A0D4-4943-AECC-BC8874D05CF0}"/>
            </c:ext>
          </c:extLst>
        </c:ser>
        <c:dLbls>
          <c:showLegendKey val="0"/>
          <c:showVal val="0"/>
          <c:showCatName val="0"/>
          <c:showSerName val="0"/>
          <c:showPercent val="0"/>
          <c:showBubbleSize val="0"/>
        </c:dLbls>
        <c:gapWidth val="150"/>
        <c:overlap val="100"/>
        <c:axId val="782149679"/>
        <c:axId val="782150511"/>
      </c:barChart>
      <c:catAx>
        <c:axId val="78214967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2150511"/>
        <c:crosses val="autoZero"/>
        <c:auto val="1"/>
        <c:lblAlgn val="ctr"/>
        <c:lblOffset val="100"/>
        <c:noMultiLvlLbl val="0"/>
      </c:catAx>
      <c:valAx>
        <c:axId val="78215051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21496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[cleaned_Prestige Cars (Autosaved).xlsx]top 5by cost!PivotTable6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solidFill>
                  <a:srgbClr val="1B365D"/>
                </a:solidFill>
              </a:rPr>
              <a:t>Top 5 by Cost</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rgbClr val="4AACC5"/>
          </a:solidFill>
          <a:ln>
            <a:noFill/>
          </a:ln>
          <a:effectLst/>
        </c:spPr>
        <c:marker>
          <c:symbol val="none"/>
        </c:marker>
      </c:pivotFmt>
      <c:pivotFmt>
        <c:idx val="4"/>
        <c:spPr>
          <a:solidFill>
            <a:srgbClr val="1B365D"/>
          </a:solidFill>
          <a:ln>
            <a:noFill/>
          </a:ln>
          <a:effectLst/>
        </c:spPr>
      </c:pivotFmt>
    </c:pivotFmts>
    <c:plotArea>
      <c:layout/>
      <c:barChart>
        <c:barDir val="bar"/>
        <c:grouping val="stacked"/>
        <c:varyColors val="0"/>
        <c:ser>
          <c:idx val="0"/>
          <c:order val="0"/>
          <c:tx>
            <c:strRef>
              <c:f>'top 5by cost'!$B$3</c:f>
              <c:strCache>
                <c:ptCount val="1"/>
                <c:pt idx="0">
                  <c:v>Total</c:v>
                </c:pt>
              </c:strCache>
            </c:strRef>
          </c:tx>
          <c:spPr>
            <a:solidFill>
              <a:srgbClr val="4AACC5"/>
            </a:solidFill>
            <a:ln>
              <a:noFill/>
            </a:ln>
            <a:effectLst/>
          </c:spPr>
          <c:invertIfNegative val="0"/>
          <c:dPt>
            <c:idx val="4"/>
            <c:invertIfNegative val="0"/>
            <c:bubble3D val="0"/>
            <c:spPr>
              <a:solidFill>
                <a:srgbClr val="1B365D"/>
              </a:solidFill>
              <a:ln>
                <a:noFill/>
              </a:ln>
              <a:effectLst/>
            </c:spPr>
            <c:extLst>
              <c:ext xmlns:c16="http://schemas.microsoft.com/office/drawing/2014/chart" uri="{C3380CC4-5D6E-409C-BE32-E72D297353CC}">
                <c16:uniqueId val="{00000001-C39E-49E9-A7BD-8ABE2DA042B6}"/>
              </c:ext>
            </c:extLst>
          </c:dPt>
          <c:cat>
            <c:strRef>
              <c:f>'top 5by cost'!$A$4:$A$9</c:f>
              <c:strCache>
                <c:ptCount val="5"/>
                <c:pt idx="0">
                  <c:v>Bentley</c:v>
                </c:pt>
                <c:pt idx="1">
                  <c:v>Lamborghini</c:v>
                </c:pt>
                <c:pt idx="2">
                  <c:v>Bugatti</c:v>
                </c:pt>
                <c:pt idx="3">
                  <c:v>Aston Martin</c:v>
                </c:pt>
                <c:pt idx="4">
                  <c:v>Ferrari</c:v>
                </c:pt>
              </c:strCache>
            </c:strRef>
          </c:cat>
          <c:val>
            <c:numRef>
              <c:f>'top 5by cost'!$B$4:$B$9</c:f>
              <c:numCache>
                <c:formatCode>General</c:formatCode>
                <c:ptCount val="5"/>
                <c:pt idx="0">
                  <c:v>1412612</c:v>
                </c:pt>
                <c:pt idx="1">
                  <c:v>1447580</c:v>
                </c:pt>
                <c:pt idx="2">
                  <c:v>1592157</c:v>
                </c:pt>
                <c:pt idx="3">
                  <c:v>4359219</c:v>
                </c:pt>
                <c:pt idx="4">
                  <c:v>4687155</c:v>
                </c:pt>
              </c:numCache>
            </c:numRef>
          </c:val>
          <c:extLst>
            <c:ext xmlns:c16="http://schemas.microsoft.com/office/drawing/2014/chart" uri="{C3380CC4-5D6E-409C-BE32-E72D297353CC}">
              <c16:uniqueId val="{00000000-C39E-49E9-A7BD-8ABE2DA042B6}"/>
            </c:ext>
          </c:extLst>
        </c:ser>
        <c:dLbls>
          <c:showLegendKey val="0"/>
          <c:showVal val="0"/>
          <c:showCatName val="0"/>
          <c:showSerName val="0"/>
          <c:showPercent val="0"/>
          <c:showBubbleSize val="0"/>
        </c:dLbls>
        <c:gapWidth val="150"/>
        <c:overlap val="100"/>
        <c:axId val="782149679"/>
        <c:axId val="782150511"/>
      </c:barChart>
      <c:catAx>
        <c:axId val="78214967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1B365D"/>
                </a:solidFill>
                <a:latin typeface="+mn-lt"/>
                <a:ea typeface="+mn-ea"/>
                <a:cs typeface="+mn-cs"/>
              </a:defRPr>
            </a:pPr>
            <a:endParaRPr lang="en-US"/>
          </a:p>
        </c:txPr>
        <c:crossAx val="782150511"/>
        <c:crosses val="autoZero"/>
        <c:auto val="1"/>
        <c:lblAlgn val="ctr"/>
        <c:lblOffset val="100"/>
        <c:noMultiLvlLbl val="0"/>
      </c:catAx>
      <c:valAx>
        <c:axId val="78215051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1B365D"/>
                </a:solidFill>
                <a:latin typeface="+mn-lt"/>
                <a:ea typeface="+mn-ea"/>
                <a:cs typeface="+mn-cs"/>
              </a:defRPr>
            </a:pPr>
            <a:endParaRPr lang="en-US"/>
          </a:p>
        </c:txPr>
        <c:crossAx val="7821496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[cleaned_Prestige Cars (Autosaved).xlsx]total sale by date!total sale by date</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solidFill>
                  <a:srgbClr val="1B365D"/>
                </a:solidFill>
              </a:rPr>
              <a:t>Total</a:t>
            </a:r>
            <a:r>
              <a:rPr lang="en-US" sz="1800" b="1" baseline="0">
                <a:solidFill>
                  <a:srgbClr val="1B365D"/>
                </a:solidFill>
              </a:rPr>
              <a:t> Sales by Date</a:t>
            </a:r>
            <a:endParaRPr lang="en-US" sz="1800" b="1">
              <a:solidFill>
                <a:srgbClr val="1B365D"/>
              </a:solidFill>
            </a:endParaRP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solidFill>
            <a:schemeClr val="accent1"/>
          </a:solidFill>
          <a:ln w="28575" cap="rnd">
            <a:solidFill>
              <a:schemeClr val="accent1"/>
            </a:solidFill>
            <a:round/>
          </a:ln>
          <a:effectLst/>
        </c:spPr>
        <c:marker>
          <c:symbol val="none"/>
        </c:marker>
      </c:pivotFmt>
      <c:pivotFmt>
        <c:idx val="3"/>
        <c:spPr>
          <a:solidFill>
            <a:schemeClr val="accent1"/>
          </a:solidFill>
          <a:ln w="28575" cap="rnd">
            <a:solidFill>
              <a:schemeClr val="accent1"/>
            </a:solidFill>
            <a:round/>
          </a:ln>
          <a:effectLst/>
        </c:spPr>
        <c:marker>
          <c:symbol val="none"/>
        </c:marker>
      </c:pivotFmt>
      <c:pivotFmt>
        <c:idx val="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5"/>
        <c:spPr>
          <a:solidFill>
            <a:schemeClr val="accent1"/>
          </a:solidFill>
          <a:ln w="28575" cap="rnd">
            <a:solidFill>
              <a:srgbClr val="4AACC5"/>
            </a:solidFill>
            <a:round/>
          </a:ln>
          <a:effectLst/>
        </c:spPr>
        <c:marker>
          <c:symbol val="circle"/>
          <c:size val="5"/>
          <c:spPr>
            <a:solidFill>
              <a:srgbClr val="1B365D"/>
            </a:solidFill>
            <a:ln w="47625">
              <a:solidFill>
                <a:schemeClr val="tx2"/>
              </a:solidFill>
            </a:ln>
            <a:effectLst/>
          </c:spPr>
        </c:marker>
      </c:pivotFmt>
      <c:pivotFmt>
        <c:idx val="6"/>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s>
    <c:plotArea>
      <c:layout/>
      <c:lineChart>
        <c:grouping val="stacked"/>
        <c:varyColors val="0"/>
        <c:ser>
          <c:idx val="0"/>
          <c:order val="0"/>
          <c:tx>
            <c:strRef>
              <c:f>'total sale by date'!$B$3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'total sale by date'!$A$4:$A$16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'total sale by date'!$B$4:$B$16</c:f>
              <c:numCache>
                <c:formatCode>General</c:formatCode>
                <c:ptCount val="12"/>
                <c:pt idx="0">
                  <c:v>2133210.1</c:v>
                </c:pt>
                <c:pt idx="1">
                  <c:v>2365080</c:v>
                </c:pt>
                <c:pt idx="2">
                  <c:v>2926161.1</c:v>
                </c:pt>
                <c:pt idx="3">
                  <c:v>2515435</c:v>
                </c:pt>
                <c:pt idx="4">
                  <c:v>3219445</c:v>
                </c:pt>
                <c:pt idx="5">
                  <c:v>1082175</c:v>
                </c:pt>
                <c:pt idx="6">
                  <c:v>2677205</c:v>
                </c:pt>
                <c:pt idx="7">
                  <c:v>2063545</c:v>
                </c:pt>
                <c:pt idx="8">
                  <c:v>1844495</c:v>
                </c:pt>
                <c:pt idx="9">
                  <c:v>1229580</c:v>
                </c:pt>
                <c:pt idx="10">
                  <c:v>805230</c:v>
                </c:pt>
                <c:pt idx="11">
                  <c:v>2376530</c:v>
                </c:pt>
              </c:numCache>
            </c:numRef>
          </c:val>
          <c:smooth val="1"/>
          <c:extLst>
            <c:ext xmlns:c16="http://schemas.microsoft.com/office/drawing/2014/chart" uri="{C3380CC4-5D6E-409C-BE32-E72D297353CC}">
              <c16:uniqueId val="{00000000-0466-4EF4-9212-08C86BCF64D6}"/>
            </c:ext>
          </c:extLst>
        </c:ser>
        <c:dLbls>
          <c:showLegendKey val="0"/>
          <c:showVal val="0"/>
          <c:showCatName val="0"/>
          <c:showSerName val="0"/>
          <c:showPercent val="0"/>
          <c:showBubbleSize val="0"/>
        </c:dLbls>
        <c:marker val="1"/>
        <c:smooth val="0"/>
        <c:axId val="782159247"/>
        <c:axId val="782167983"/>
      </c:lineChart>
      <c:catAx>
        <c:axId val="7821592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1B365D"/>
                </a:solidFill>
                <a:latin typeface="+mn-lt"/>
                <a:ea typeface="+mn-ea"/>
                <a:cs typeface="+mn-cs"/>
              </a:defRPr>
            </a:pPr>
            <a:endParaRPr lang="en-US"/>
          </a:p>
        </c:txPr>
        <c:crossAx val="782167983"/>
        <c:crosses val="autoZero"/>
        <c:auto val="1"/>
        <c:lblAlgn val="ctr"/>
        <c:lblOffset val="100"/>
        <c:noMultiLvlLbl val="0"/>
      </c:catAx>
      <c:valAx>
        <c:axId val="7821679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1B365D"/>
                </a:solidFill>
                <a:latin typeface="+mn-lt"/>
                <a:ea typeface="+mn-ea"/>
                <a:cs typeface="+mn-cs"/>
              </a:defRPr>
            </a:pPr>
            <a:endParaRPr lang="en-US"/>
          </a:p>
        </c:txPr>
        <c:crossAx val="782159247"/>
        <c:crosses val="autoZero"/>
        <c:crossBetween val="between"/>
      </c:valAx>
      <c:spPr>
        <a:noFill/>
        <a:ln>
          <a:noFill/>
        </a:ln>
        <a:effectLst/>
      </c:spPr>
    </c:plotArea>
    <c:plotVisOnly val="1"/>
    <c:dispBlanksAs val="gap"/>
    <c:showDLblsOverMax val="0"/>
  </c:chart>
  <c:spPr>
    <a:solidFill>
      <a:srgbClr val="F8F9FA"/>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[cleaned_Prestige Cars (Autosaved).xlsx]region by sales!PivotTable2</c:name>
    <c:fmtId val="3"/>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a:solidFill>
                  <a:srgbClr val="1B365D"/>
                </a:solidFill>
              </a:rPr>
              <a:t>Total Sales by Region</a:t>
            </a:r>
          </a:p>
        </c:rich>
      </c:tx>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pivotFmt>
      <c:pivotFmt>
        <c:idx val="1"/>
        <c:dLbl>
          <c:idx val="0"/>
          <c:showLegendKey val="0"/>
          <c:showVal val="0"/>
          <c:showCatName val="0"/>
          <c:showSerName val="0"/>
          <c:showPercent val="1"/>
          <c:showBubbleSize val="0"/>
          <c:extLst>
            <c:ext xmlns:c15="http://schemas.microsoft.com/office/drawing/2012/chart" uri="{CE6537A1-D6FC-4f65-9D91-7224C49458BB}"/>
          </c:extLst>
        </c:dLbl>
      </c:pivotFmt>
      <c:pivotFmt>
        <c:idx val="2"/>
        <c:dLbl>
          <c:idx val="0"/>
          <c:showLegendKey val="0"/>
          <c:showVal val="0"/>
          <c:showCatName val="0"/>
          <c:showSerName val="0"/>
          <c:showPercent val="1"/>
          <c:showBubbleSize val="0"/>
          <c:extLst>
            <c:ext xmlns:c15="http://schemas.microsoft.com/office/drawing/2012/chart" uri="{CE6537A1-D6FC-4f65-9D91-7224C49458BB}"/>
          </c:extLst>
        </c:dLbl>
      </c:pivotFmt>
      <c:pivotFmt>
        <c:idx val="3"/>
        <c:dLbl>
          <c:idx val="0"/>
          <c:showLegendKey val="0"/>
          <c:showVal val="0"/>
          <c:showCatName val="0"/>
          <c:showSerName val="0"/>
          <c:showPercent val="1"/>
          <c:showBubbleSize val="0"/>
          <c:extLst>
            <c:ext xmlns:c15="http://schemas.microsoft.com/office/drawing/2012/chart" uri="{CE6537A1-D6FC-4f65-9D91-7224C49458BB}"/>
          </c:extLst>
        </c:dLbl>
      </c:pivotFmt>
      <c:pivotFmt>
        <c:idx val="4"/>
      </c:pivotFmt>
      <c:pivotFmt>
        <c:idx val="5"/>
      </c:pivotFmt>
      <c:pivotFmt>
        <c:idx val="6"/>
        <c:dLbl>
          <c:idx val="0"/>
          <c:showLegendKey val="0"/>
          <c:showVal val="0"/>
          <c:showCatName val="0"/>
          <c:showSerName val="0"/>
          <c:showPercent val="1"/>
          <c:showBubbleSize val="0"/>
          <c:extLst>
            <c:ext xmlns:c15="http://schemas.microsoft.com/office/drawing/2012/chart" uri="{CE6537A1-D6FC-4f65-9D91-7224C49458BB}"/>
          </c:extLst>
        </c:dLbl>
      </c:pivotFmt>
      <c:pivotFmt>
        <c:idx val="7"/>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4AACC5"/>
          </a:solidFill>
          <a:ln>
            <a:noFill/>
          </a:ln>
          <a:effectLst>
            <a:outerShdw blurRad="317500" algn="ctr" rotWithShape="0">
              <a:prstClr val="black">
                <a:alpha val="25000"/>
              </a:prstClr>
            </a:outerShdw>
          </a:effectLst>
        </c:spPr>
      </c:pivotFmt>
      <c:pivotFmt>
        <c:idx val="10"/>
        <c:spPr>
          <a:solidFill>
            <a:srgbClr val="4AACC5"/>
          </a:solidFill>
          <a:ln>
            <a:noFill/>
          </a:ln>
          <a:effectLst>
            <a:outerShdw blurRad="317500" algn="ctr" rotWithShape="0">
              <a:prstClr val="black">
                <a:alpha val="25000"/>
              </a:prstClr>
            </a:outerShdw>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ext>
          </c:extLst>
        </c:dLbl>
      </c:pivotFmt>
      <c:pivotFmt>
        <c:idx val="11"/>
        <c:spPr>
          <a:solidFill>
            <a:srgbClr val="1B365D"/>
          </a:solidFill>
          <a:ln>
            <a:noFill/>
          </a:ln>
          <a:effectLst>
            <a:outerShdw blurRad="317500" algn="ctr" rotWithShape="0">
              <a:prstClr val="black">
                <a:alpha val="25000"/>
              </a:prstClr>
            </a:outerShdw>
          </a:effectLst>
        </c:spPr>
      </c:pivotFmt>
    </c:pivotFmts>
    <c:plotArea>
      <c:layout/>
      <c:doughnutChart>
        <c:varyColors val="1"/>
        <c:ser>
          <c:idx val="0"/>
          <c:order val="0"/>
          <c:tx>
            <c:strRef>
              <c:f>'region by sales'!$B$3</c:f>
              <c:strCache>
                <c:ptCount val="1"/>
                <c:pt idx="0">
                  <c:v>Total</c:v>
                </c:pt>
              </c:strCache>
            </c:strRef>
          </c:tx>
          <c:spPr>
            <a:solidFill>
              <a:srgbClr val="4AACC5"/>
            </a:solidFill>
          </c:spPr>
          <c:dPt>
            <c:idx val="0"/>
            <c:bubble3D val="0"/>
            <c:spPr>
              <a:solidFill>
                <a:srgbClr val="1B365D"/>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141D-4B72-9CBC-F314582AD424}"/>
              </c:ext>
            </c:extLst>
          </c:dPt>
          <c:dPt>
            <c:idx val="1"/>
            <c:bubble3D val="0"/>
            <c:spPr>
              <a:solidFill>
                <a:srgbClr val="4AACC5"/>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141D-4B72-9CBC-F314582AD424}"/>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15:layout/>
              </c:ext>
            </c:extLst>
          </c:dLbls>
          <c:cat>
            <c:strRef>
              <c:f>'region by sales'!$A$4:$A$6</c:f>
              <c:strCache>
                <c:ptCount val="2"/>
                <c:pt idx="0">
                  <c:v>EMEA</c:v>
                </c:pt>
                <c:pt idx="1">
                  <c:v>North America</c:v>
                </c:pt>
              </c:strCache>
            </c:strRef>
          </c:cat>
          <c:val>
            <c:numRef>
              <c:f>'region by sales'!$B$4:$B$6</c:f>
              <c:numCache>
                <c:formatCode>General</c:formatCode>
                <c:ptCount val="2"/>
                <c:pt idx="0">
                  <c:v>23242471.199999999</c:v>
                </c:pt>
                <c:pt idx="1">
                  <c:v>1995620</c:v>
                </c:pt>
              </c:numCache>
            </c:numRef>
          </c:val>
          <c:extLst>
            <c:ext xmlns:c16="http://schemas.microsoft.com/office/drawing/2014/chart" uri="{C3380CC4-5D6E-409C-BE32-E72D297353CC}">
              <c16:uniqueId val="{00000004-141D-4B72-9CBC-F314582AD424}"/>
            </c:ext>
          </c:extLst>
        </c:ser>
        <c:dLbls>
          <c:showLegendKey val="0"/>
          <c:showVal val="0"/>
          <c:showCatName val="0"/>
          <c:showSerName val="0"/>
          <c:showPercent val="1"/>
          <c:showBubbleSize val="0"/>
          <c:showLeaderLines val="1"/>
        </c:dLbls>
        <c:firstSliceAng val="0"/>
        <c:holeSize val="70"/>
      </c:doughnutChart>
      <c:spPr>
        <a:noFill/>
        <a:ln>
          <a:noFill/>
        </a:ln>
        <a:effectLst/>
      </c:spPr>
    </c:plotArea>
    <c:legend>
      <c:legendPos val="r"/>
      <c:layout/>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[cleaned_Prestige Cars (Autosaved).xlsx]top 5 by profit!PivotTable3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solidFill>
                  <a:srgbClr val="1B365D"/>
                </a:solidFill>
              </a:rPr>
              <a:t>Top 5 by Profit</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rgbClr val="4AACC5"/>
          </a:solidFill>
          <a:ln>
            <a:noFill/>
          </a:ln>
          <a:effectLst/>
        </c:spPr>
        <c:marker>
          <c:symbol val="none"/>
        </c:marker>
      </c:pivotFmt>
      <c:pivotFmt>
        <c:idx val="4"/>
        <c:spPr>
          <a:solidFill>
            <a:srgbClr val="1B365D"/>
          </a:solidFill>
          <a:ln>
            <a:noFill/>
          </a:ln>
          <a:effectLst/>
        </c:spPr>
      </c:pivotFmt>
    </c:pivotFmts>
    <c:plotArea>
      <c:layout/>
      <c:barChart>
        <c:barDir val="bar"/>
        <c:grouping val="stacked"/>
        <c:varyColors val="0"/>
        <c:ser>
          <c:idx val="0"/>
          <c:order val="0"/>
          <c:tx>
            <c:strRef>
              <c:f>'top 5 by profit'!$B$3</c:f>
              <c:strCache>
                <c:ptCount val="1"/>
                <c:pt idx="0">
                  <c:v>Total</c:v>
                </c:pt>
              </c:strCache>
            </c:strRef>
          </c:tx>
          <c:spPr>
            <a:solidFill>
              <a:srgbClr val="4AACC5"/>
            </a:solidFill>
            <a:ln>
              <a:noFill/>
            </a:ln>
            <a:effectLst/>
          </c:spPr>
          <c:invertIfNegative val="0"/>
          <c:dPt>
            <c:idx val="4"/>
            <c:invertIfNegative val="0"/>
            <c:bubble3D val="0"/>
            <c:spPr>
              <a:solidFill>
                <a:srgbClr val="1B365D"/>
              </a:solidFill>
              <a:ln>
                <a:noFill/>
              </a:ln>
              <a:effectLst/>
            </c:spPr>
            <c:extLst>
              <c:ext xmlns:c16="http://schemas.microsoft.com/office/drawing/2014/chart" uri="{C3380CC4-5D6E-409C-BE32-E72D297353CC}">
                <c16:uniqueId val="{00000000-D143-4F1E-B3FF-39766CDAB3A8}"/>
              </c:ext>
            </c:extLst>
          </c:dPt>
          <c:cat>
            <c:strRef>
              <c:f>'top 5 by profit'!$A$4:$A$9</c:f>
              <c:strCache>
                <c:ptCount val="5"/>
                <c:pt idx="0">
                  <c:v>Porsche</c:v>
                </c:pt>
                <c:pt idx="1">
                  <c:v>Lamborghini</c:v>
                </c:pt>
                <c:pt idx="2">
                  <c:v>Triumph</c:v>
                </c:pt>
                <c:pt idx="3">
                  <c:v>Aston Martin</c:v>
                </c:pt>
                <c:pt idx="4">
                  <c:v>Ferrari</c:v>
                </c:pt>
              </c:strCache>
            </c:strRef>
          </c:cat>
          <c:val>
            <c:numRef>
              <c:f>'top 5 by profit'!$B$4:$B$9</c:f>
              <c:numCache>
                <c:formatCode>General</c:formatCode>
                <c:ptCount val="5"/>
                <c:pt idx="0">
                  <c:v>436503</c:v>
                </c:pt>
                <c:pt idx="1">
                  <c:v>515520</c:v>
                </c:pt>
                <c:pt idx="2">
                  <c:v>691532</c:v>
                </c:pt>
                <c:pt idx="3">
                  <c:v>1306107.1000000001</c:v>
                </c:pt>
                <c:pt idx="4">
                  <c:v>1373245.1</c:v>
                </c:pt>
              </c:numCache>
            </c:numRef>
          </c:val>
          <c:extLst>
            <c:ext xmlns:c16="http://schemas.microsoft.com/office/drawing/2014/chart" uri="{C3380CC4-5D6E-409C-BE32-E72D297353CC}">
              <c16:uniqueId val="{00000000-5DF6-43AC-95D0-DF6BDF5281F9}"/>
            </c:ext>
          </c:extLst>
        </c:ser>
        <c:dLbls>
          <c:showLegendKey val="0"/>
          <c:showVal val="0"/>
          <c:showCatName val="0"/>
          <c:showSerName val="0"/>
          <c:showPercent val="0"/>
          <c:showBubbleSize val="0"/>
        </c:dLbls>
        <c:gapWidth val="150"/>
        <c:overlap val="100"/>
        <c:axId val="663879247"/>
        <c:axId val="663882159"/>
      </c:barChart>
      <c:catAx>
        <c:axId val="66387924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1B365D"/>
                </a:solidFill>
                <a:latin typeface="+mn-lt"/>
                <a:ea typeface="+mn-ea"/>
                <a:cs typeface="+mn-cs"/>
              </a:defRPr>
            </a:pPr>
            <a:endParaRPr lang="en-US"/>
          </a:p>
        </c:txPr>
        <c:crossAx val="663882159"/>
        <c:crosses val="autoZero"/>
        <c:auto val="1"/>
        <c:lblAlgn val="ctr"/>
        <c:lblOffset val="100"/>
        <c:noMultiLvlLbl val="0"/>
      </c:catAx>
      <c:valAx>
        <c:axId val="66388215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1B365D"/>
                </a:solidFill>
                <a:latin typeface="+mn-lt"/>
                <a:ea typeface="+mn-ea"/>
                <a:cs typeface="+mn-cs"/>
              </a:defRPr>
            </a:pPr>
            <a:endParaRPr lang="en-US"/>
          </a:p>
        </c:txPr>
        <c:crossAx val="663879247"/>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[cleaned_Prestige Cars (Autosaved).xlsx]profit by country!PivotTable5</c:name>
    <c:fmtId val="3"/>
  </c:pivotSource>
  <c:chart>
    <c:title>
      <c:tx>
        <c:rich>
          <a:bodyPr rot="0" spcFirstLastPara="1" vertOverflow="ellipsis" vert="horz" wrap="square" anchor="ctr" anchorCtr="1"/>
          <a:lstStyle/>
          <a:p>
            <a:pPr>
              <a:defRPr sz="1400" b="0" i="0" u="none" strike="noStrike" kern="1200" spc="0" baseline="0">
                <a:solidFill>
                  <a:srgbClr val="1B365D"/>
                </a:solidFill>
                <a:latin typeface="+mn-lt"/>
                <a:ea typeface="+mn-ea"/>
                <a:cs typeface="+mn-cs"/>
              </a:defRPr>
            </a:pPr>
            <a:r>
              <a:rPr lang="en-US"/>
              <a:t>Profit by Country</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rgbClr val="1B365D"/>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rgbClr val="1B365D"/>
          </a:solidFill>
          <a:ln>
            <a:noFill/>
          </a:ln>
          <a:effectLst/>
        </c:spPr>
      </c:pivotFmt>
      <c:pivotFmt>
        <c:idx val="5"/>
        <c:spPr>
          <a:solidFill>
            <a:srgbClr val="4AACC5"/>
          </a:solidFill>
          <a:ln>
            <a:noFill/>
          </a:ln>
          <a:effectLst/>
        </c:spPr>
        <c:marker>
          <c:symbol val="none"/>
        </c:marker>
      </c:pivotFmt>
    </c:pivotFmts>
    <c:plotArea>
      <c:layout/>
      <c:barChart>
        <c:barDir val="col"/>
        <c:grouping val="stacked"/>
        <c:varyColors val="0"/>
        <c:ser>
          <c:idx val="0"/>
          <c:order val="0"/>
          <c:tx>
            <c:strRef>
              <c:f>'profit by country'!$B$3</c:f>
              <c:strCache>
                <c:ptCount val="1"/>
                <c:pt idx="0">
                  <c:v>Total</c:v>
                </c:pt>
              </c:strCache>
            </c:strRef>
          </c:tx>
          <c:spPr>
            <a:solidFill>
              <a:srgbClr val="4AACC5"/>
            </a:solidFill>
            <a:ln>
              <a:noFill/>
            </a:ln>
            <a:effectLst/>
          </c:spPr>
          <c:invertIfNegative val="0"/>
          <c:dPt>
            <c:idx val="7"/>
            <c:invertIfNegative val="0"/>
            <c:bubble3D val="0"/>
            <c:spPr>
              <a:solidFill>
                <a:srgbClr val="1B365D"/>
              </a:solidFill>
              <a:ln>
                <a:noFill/>
              </a:ln>
              <a:effectLst/>
            </c:spPr>
            <c:extLst>
              <c:ext xmlns:c16="http://schemas.microsoft.com/office/drawing/2014/chart" uri="{C3380CC4-5D6E-409C-BE32-E72D297353CC}">
                <c16:uniqueId val="{00000000-07E7-4BB6-87CB-187542CDCB67}"/>
              </c:ext>
            </c:extLst>
          </c:dPt>
          <c:cat>
            <c:strRef>
              <c:f>'profit by country'!$A$4:$A$12</c:f>
              <c:strCache>
                <c:ptCount val="8"/>
                <c:pt idx="0">
                  <c:v>Belgium</c:v>
                </c:pt>
                <c:pt idx="1">
                  <c:v>Italy</c:v>
                </c:pt>
                <c:pt idx="2">
                  <c:v>Germany</c:v>
                </c:pt>
                <c:pt idx="3">
                  <c:v>Switzerland</c:v>
                </c:pt>
                <c:pt idx="4">
                  <c:v>United States</c:v>
                </c:pt>
                <c:pt idx="5">
                  <c:v>Spain</c:v>
                </c:pt>
                <c:pt idx="6">
                  <c:v>France</c:v>
                </c:pt>
                <c:pt idx="7">
                  <c:v>United Kingdom</c:v>
                </c:pt>
              </c:strCache>
            </c:strRef>
          </c:cat>
          <c:val>
            <c:numRef>
              <c:f>'profit by country'!$B$4:$B$12</c:f>
              <c:numCache>
                <c:formatCode>General</c:formatCode>
                <c:ptCount val="8"/>
                <c:pt idx="0">
                  <c:v>168193</c:v>
                </c:pt>
                <c:pt idx="1">
                  <c:v>180392</c:v>
                </c:pt>
                <c:pt idx="2">
                  <c:v>209953</c:v>
                </c:pt>
                <c:pt idx="3">
                  <c:v>238578</c:v>
                </c:pt>
                <c:pt idx="4">
                  <c:v>303472</c:v>
                </c:pt>
                <c:pt idx="5">
                  <c:v>1083017</c:v>
                </c:pt>
                <c:pt idx="6">
                  <c:v>1601117</c:v>
                </c:pt>
                <c:pt idx="7">
                  <c:v>2730227.2</c:v>
                </c:pt>
              </c:numCache>
            </c:numRef>
          </c:val>
          <c:extLst>
            <c:ext xmlns:c16="http://schemas.microsoft.com/office/drawing/2014/chart" uri="{C3380CC4-5D6E-409C-BE32-E72D297353CC}">
              <c16:uniqueId val="{00000000-D5D3-4130-9DDB-3C04F51CE403}"/>
            </c:ext>
          </c:extLst>
        </c:ser>
        <c:dLbls>
          <c:showLegendKey val="0"/>
          <c:showVal val="0"/>
          <c:showCatName val="0"/>
          <c:showSerName val="0"/>
          <c:showPercent val="0"/>
          <c:showBubbleSize val="0"/>
        </c:dLbls>
        <c:gapWidth val="150"/>
        <c:overlap val="100"/>
        <c:axId val="663864687"/>
        <c:axId val="663878415"/>
      </c:barChart>
      <c:catAx>
        <c:axId val="6638646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1B365D"/>
                </a:solidFill>
                <a:latin typeface="+mn-lt"/>
                <a:ea typeface="+mn-ea"/>
                <a:cs typeface="+mn-cs"/>
              </a:defRPr>
            </a:pPr>
            <a:endParaRPr lang="en-US"/>
          </a:p>
        </c:txPr>
        <c:crossAx val="663878415"/>
        <c:crosses val="autoZero"/>
        <c:auto val="1"/>
        <c:lblAlgn val="ctr"/>
        <c:lblOffset val="100"/>
        <c:noMultiLvlLbl val="0"/>
      </c:catAx>
      <c:valAx>
        <c:axId val="6638784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1B365D"/>
                </a:solidFill>
                <a:latin typeface="+mn-lt"/>
                <a:ea typeface="+mn-ea"/>
                <a:cs typeface="+mn-cs"/>
              </a:defRPr>
            </a:pPr>
            <a:endParaRPr lang="en-US"/>
          </a:p>
        </c:txPr>
        <c:crossAx val="663864687"/>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solidFill>
            <a:srgbClr val="1B365D"/>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6" Type="http://schemas.openxmlformats.org/officeDocument/2006/relationships/image" Target="../media/image1.png"/><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1</xdr:col>
      <xdr:colOff>784860</xdr:colOff>
      <xdr:row>4</xdr:row>
      <xdr:rowOff>3810</xdr:rowOff>
    </xdr:from>
    <xdr:to>
      <xdr:col>15</xdr:col>
      <xdr:colOff>518160</xdr:colOff>
      <xdr:row>19</xdr:row>
      <xdr:rowOff>3810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518160</xdr:colOff>
      <xdr:row>24</xdr:row>
      <xdr:rowOff>175260</xdr:rowOff>
    </xdr:from>
    <xdr:to>
      <xdr:col>16</xdr:col>
      <xdr:colOff>198120</xdr:colOff>
      <xdr:row>32</xdr:row>
      <xdr:rowOff>83820</xdr:rowOff>
    </xdr:to>
    <mc:AlternateContent xmlns:mc="http://schemas.openxmlformats.org/markup-compatibility/2006" xmlns:tsle="http://schemas.microsoft.com/office/drawing/2012/timeslicer">
      <mc:Choice Requires="tsle">
        <xdr:graphicFrame macro="">
          <xdr:nvGraphicFramePr>
            <xdr:cNvPr id="3" name="SaleDate"/>
            <xdr:cNvGraphicFramePr/>
          </xdr:nvGraphicFramePr>
          <xdr:xfrm>
            <a:off x="0" y="0"/>
            <a:ext cx="0" cy="0"/>
          </xdr:xfrm>
          <a:graphic>
            <a:graphicData uri="http://schemas.microsoft.com/office/drawing/2012/timeslicer">
              <tsle:timeslicer name="SaleDate"/>
            </a:graphicData>
          </a:graphic>
        </xdr:graphicFrame>
      </mc:Choice>
      <mc:Fallback xmlns="">
        <xdr:sp macro="" textlink="">
          <xdr:nvSpPr>
            <xdr:cNvPr id="0" name=""/>
            <xdr:cNvSpPr>
              <a:spLocks noTextEdit="1"/>
            </xdr:cNvSpPr>
          </xdr:nvSpPr>
          <xdr:spPr>
            <a:xfrm>
              <a:off x="7909560" y="4564380"/>
              <a:ext cx="3337560" cy="1371600"/>
            </a:xfrm>
            <a:prstGeom prst="rect">
              <a:avLst/>
            </a:prstGeom>
            <a:solidFill>
              <a:prstClr val="white"/>
            </a:solidFill>
            <a:ln w="1">
              <a:solidFill>
                <a:prstClr val="green"/>
              </a:solidFill>
            </a:ln>
          </xdr:spPr>
          <xdr:txBody>
            <a:bodyPr vertOverflow="clip" horzOverflow="clip"/>
            <a:lstStyle/>
            <a:p>
              <a:r>
                <a:rPr lang="en-US" sz="1100"/>
                <a:t>Timeline: Works in Excel or higher. Do not move or resize.</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121920</xdr:colOff>
      <xdr:row>5</xdr:row>
      <xdr:rowOff>148590</xdr:rowOff>
    </xdr:from>
    <xdr:to>
      <xdr:col>9</xdr:col>
      <xdr:colOff>426720</xdr:colOff>
      <xdr:row>20</xdr:row>
      <xdr:rowOff>148590</xdr:rowOff>
    </xdr:to>
    <xdr:graphicFrame macro="">
      <xdr:nvGraphicFramePr>
        <xdr:cNvPr id="3" name="region by sale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266700</xdr:colOff>
      <xdr:row>3</xdr:row>
      <xdr:rowOff>140970</xdr:rowOff>
    </xdr:from>
    <xdr:to>
      <xdr:col>12</xdr:col>
      <xdr:colOff>571500</xdr:colOff>
      <xdr:row>18</xdr:row>
      <xdr:rowOff>140970</xdr:rowOff>
    </xdr:to>
    <xdr:graphicFrame macro="">
      <xdr:nvGraphicFramePr>
        <xdr:cNvPr id="2" name="top 5 by profit"/>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xdr:col>
      <xdr:colOff>388620</xdr:colOff>
      <xdr:row>4</xdr:row>
      <xdr:rowOff>3810</xdr:rowOff>
    </xdr:from>
    <xdr:to>
      <xdr:col>14</xdr:col>
      <xdr:colOff>350520</xdr:colOff>
      <xdr:row>19</xdr:row>
      <xdr:rowOff>3810</xdr:rowOff>
    </xdr:to>
    <xdr:graphicFrame macro="">
      <xdr:nvGraphicFramePr>
        <xdr:cNvPr id="2" name="profit by country"/>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5</xdr:col>
      <xdr:colOff>175260</xdr:colOff>
      <xdr:row>0</xdr:row>
      <xdr:rowOff>0</xdr:rowOff>
    </xdr:from>
    <xdr:to>
      <xdr:col>12</xdr:col>
      <xdr:colOff>480060</xdr:colOff>
      <xdr:row>15</xdr:row>
      <xdr:rowOff>0</xdr:rowOff>
    </xdr:to>
    <xdr:graphicFrame macro="">
      <xdr:nvGraphicFramePr>
        <xdr:cNvPr id="2" name="top 5by cost"/>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14</xdr:col>
      <xdr:colOff>167640</xdr:colOff>
      <xdr:row>2</xdr:row>
      <xdr:rowOff>175261</xdr:rowOff>
    </xdr:from>
    <xdr:to>
      <xdr:col>17</xdr:col>
      <xdr:colOff>167640</xdr:colOff>
      <xdr:row>8</xdr:row>
      <xdr:rowOff>114301</xdr:rowOff>
    </xdr:to>
    <mc:AlternateContent xmlns:mc="http://schemas.openxmlformats.org/markup-compatibility/2006" xmlns:a14="http://schemas.microsoft.com/office/drawing/2010/main">
      <mc:Choice Requires="a14">
        <xdr:graphicFrame macro="">
          <xdr:nvGraphicFramePr>
            <xdr:cNvPr id="3" name="Country.SalesRegion"/>
            <xdr:cNvGraphicFramePr/>
          </xdr:nvGraphicFramePr>
          <xdr:xfrm>
            <a:off x="0" y="0"/>
            <a:ext cx="0" cy="0"/>
          </xdr:xfrm>
          <a:graphic>
            <a:graphicData uri="http://schemas.microsoft.com/office/drawing/2010/slicer">
              <sle:slicer xmlns:sle="http://schemas.microsoft.com/office/drawing/2010/slicer" name="Country.SalesRegion"/>
            </a:graphicData>
          </a:graphic>
        </xdr:graphicFrame>
      </mc:Choice>
      <mc:Fallback xmlns="">
        <xdr:sp macro="" textlink="">
          <xdr:nvSpPr>
            <xdr:cNvPr id="0" name=""/>
            <xdr:cNvSpPr>
              <a:spLocks noTextEdit="1"/>
            </xdr:cNvSpPr>
          </xdr:nvSpPr>
          <xdr:spPr>
            <a:xfrm>
              <a:off x="9433560" y="541021"/>
              <a:ext cx="1828800" cy="10363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487680</xdr:colOff>
      <xdr:row>12</xdr:row>
      <xdr:rowOff>106680</xdr:rowOff>
    </xdr:from>
    <xdr:to>
      <xdr:col>18</xdr:col>
      <xdr:colOff>487680</xdr:colOff>
      <xdr:row>26</xdr:row>
      <xdr:rowOff>13335</xdr:rowOff>
    </xdr:to>
    <mc:AlternateContent xmlns:mc="http://schemas.openxmlformats.org/markup-compatibility/2006" xmlns:a14="http://schemas.microsoft.com/office/drawing/2010/main">
      <mc:Choice Requires="a14">
        <xdr:graphicFrame macro="">
          <xdr:nvGraphicFramePr>
            <xdr:cNvPr id="4" name="MakeName"/>
            <xdr:cNvGraphicFramePr/>
          </xdr:nvGraphicFramePr>
          <xdr:xfrm>
            <a:off x="0" y="0"/>
            <a:ext cx="0" cy="0"/>
          </xdr:xfrm>
          <a:graphic>
            <a:graphicData uri="http://schemas.microsoft.com/office/drawing/2010/slicer">
              <sle:slicer xmlns:sle="http://schemas.microsoft.com/office/drawing/2010/slicer" name="MakeName"/>
            </a:graphicData>
          </a:graphic>
        </xdr:graphicFrame>
      </mc:Choice>
      <mc:Fallback xmlns="">
        <xdr:sp macro="" textlink="">
          <xdr:nvSpPr>
            <xdr:cNvPr id="0" name=""/>
            <xdr:cNvSpPr>
              <a:spLocks noTextEdit="1"/>
            </xdr:cNvSpPr>
          </xdr:nvSpPr>
          <xdr:spPr>
            <a:xfrm>
              <a:off x="10363200" y="230124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129540</xdr:colOff>
      <xdr:row>17</xdr:row>
      <xdr:rowOff>53340</xdr:rowOff>
    </xdr:from>
    <xdr:to>
      <xdr:col>9</xdr:col>
      <xdr:colOff>129540</xdr:colOff>
      <xdr:row>30</xdr:row>
      <xdr:rowOff>142875</xdr:rowOff>
    </xdr:to>
    <mc:AlternateContent xmlns:mc="http://schemas.openxmlformats.org/markup-compatibility/2006" xmlns:a14="http://schemas.microsoft.com/office/drawing/2010/main">
      <mc:Choice Requires="a14">
        <xdr:graphicFrame macro="">
          <xdr:nvGraphicFramePr>
            <xdr:cNvPr id="5" name="CountryName"/>
            <xdr:cNvGraphicFramePr/>
          </xdr:nvGraphicFramePr>
          <xdr:xfrm>
            <a:off x="0" y="0"/>
            <a:ext cx="0" cy="0"/>
          </xdr:xfrm>
          <a:graphic>
            <a:graphicData uri="http://schemas.microsoft.com/office/drawing/2010/slicer">
              <sle:slicer xmlns:sle="http://schemas.microsoft.com/office/drawing/2010/slicer" name="CountryName"/>
            </a:graphicData>
          </a:graphic>
        </xdr:graphicFrame>
      </mc:Choice>
      <mc:Fallback xmlns="">
        <xdr:sp macro="" textlink="">
          <xdr:nvSpPr>
            <xdr:cNvPr id="0" name=""/>
            <xdr:cNvSpPr>
              <a:spLocks noTextEdit="1"/>
            </xdr:cNvSpPr>
          </xdr:nvSpPr>
          <xdr:spPr>
            <a:xfrm>
              <a:off x="4518660" y="316230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403860</xdr:colOff>
      <xdr:row>16</xdr:row>
      <xdr:rowOff>7620</xdr:rowOff>
    </xdr:from>
    <xdr:to>
      <xdr:col>14</xdr:col>
      <xdr:colOff>403860</xdr:colOff>
      <xdr:row>29</xdr:row>
      <xdr:rowOff>97155</xdr:rowOff>
    </xdr:to>
    <mc:AlternateContent xmlns:mc="http://schemas.openxmlformats.org/markup-compatibility/2006" xmlns:a14="http://schemas.microsoft.com/office/drawing/2010/main">
      <mc:Choice Requires="a14">
        <xdr:graphicFrame macro="">
          <xdr:nvGraphicFramePr>
            <xdr:cNvPr id="6" name="Stock.Color"/>
            <xdr:cNvGraphicFramePr/>
          </xdr:nvGraphicFramePr>
          <xdr:xfrm>
            <a:off x="0" y="0"/>
            <a:ext cx="0" cy="0"/>
          </xdr:xfrm>
          <a:graphic>
            <a:graphicData uri="http://schemas.microsoft.com/office/drawing/2010/slicer">
              <sle:slicer xmlns:sle="http://schemas.microsoft.com/office/drawing/2010/slicer" name="Stock.Color"/>
            </a:graphicData>
          </a:graphic>
        </xdr:graphicFrame>
      </mc:Choice>
      <mc:Fallback xmlns="">
        <xdr:sp macro="" textlink="">
          <xdr:nvSpPr>
            <xdr:cNvPr id="0" name=""/>
            <xdr:cNvSpPr>
              <a:spLocks noTextEdit="1"/>
            </xdr:cNvSpPr>
          </xdr:nvSpPr>
          <xdr:spPr>
            <a:xfrm>
              <a:off x="7840980" y="293370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editAs="oneCell">
    <xdr:from>
      <xdr:col>21</xdr:col>
      <xdr:colOff>288096</xdr:colOff>
      <xdr:row>20</xdr:row>
      <xdr:rowOff>139551</xdr:rowOff>
    </xdr:from>
    <xdr:to>
      <xdr:col>26</xdr:col>
      <xdr:colOff>31315</xdr:colOff>
      <xdr:row>24</xdr:row>
      <xdr:rowOff>41753</xdr:rowOff>
    </xdr:to>
    <mc:AlternateContent xmlns:mc="http://schemas.openxmlformats.org/markup-compatibility/2006" xmlns:a14="http://schemas.microsoft.com/office/drawing/2010/main">
      <mc:Choice Requires="a14">
        <xdr:graphicFrame macro="">
          <xdr:nvGraphicFramePr>
            <xdr:cNvPr id="2" name="Country.SalesRegion 1"/>
            <xdr:cNvGraphicFramePr/>
          </xdr:nvGraphicFramePr>
          <xdr:xfrm>
            <a:off x="0" y="0"/>
            <a:ext cx="0" cy="0"/>
          </xdr:xfrm>
          <a:graphic>
            <a:graphicData uri="http://schemas.microsoft.com/office/drawing/2010/slicer">
              <sle:slicer xmlns:sle="http://schemas.microsoft.com/office/drawing/2010/slicer" name="Country.SalesRegion 1"/>
            </a:graphicData>
          </a:graphic>
        </xdr:graphicFrame>
      </mc:Choice>
      <mc:Fallback xmlns="">
        <xdr:sp macro="" textlink="">
          <xdr:nvSpPr>
            <xdr:cNvPr id="0" name=""/>
            <xdr:cNvSpPr>
              <a:spLocks noTextEdit="1"/>
            </xdr:cNvSpPr>
          </xdr:nvSpPr>
          <xdr:spPr>
            <a:xfrm>
              <a:off x="12544672" y="3639585"/>
              <a:ext cx="2778304" cy="62545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298948</xdr:colOff>
      <xdr:row>14</xdr:row>
      <xdr:rowOff>64814</xdr:rowOff>
    </xdr:from>
    <xdr:to>
      <xdr:col>26</xdr:col>
      <xdr:colOff>20876</xdr:colOff>
      <xdr:row>20</xdr:row>
      <xdr:rowOff>104384</xdr:rowOff>
    </xdr:to>
    <mc:AlternateContent xmlns:mc="http://schemas.openxmlformats.org/markup-compatibility/2006" xmlns:a14="http://schemas.microsoft.com/office/drawing/2010/main">
      <mc:Choice Requires="a14">
        <xdr:graphicFrame macro="">
          <xdr:nvGraphicFramePr>
            <xdr:cNvPr id="4" name="CountryName 1"/>
            <xdr:cNvGraphicFramePr/>
          </xdr:nvGraphicFramePr>
          <xdr:xfrm>
            <a:off x="0" y="0"/>
            <a:ext cx="0" cy="0"/>
          </xdr:xfrm>
          <a:graphic>
            <a:graphicData uri="http://schemas.microsoft.com/office/drawing/2010/slicer">
              <sle:slicer xmlns:sle="http://schemas.microsoft.com/office/drawing/2010/slicer" name="CountryName 1"/>
            </a:graphicData>
          </a:graphic>
        </xdr:graphicFrame>
      </mc:Choice>
      <mc:Fallback xmlns="">
        <xdr:sp macro="" textlink="">
          <xdr:nvSpPr>
            <xdr:cNvPr id="0" name=""/>
            <xdr:cNvSpPr>
              <a:spLocks noTextEdit="1"/>
            </xdr:cNvSpPr>
          </xdr:nvSpPr>
          <xdr:spPr>
            <a:xfrm>
              <a:off x="12555524" y="2479967"/>
              <a:ext cx="2757013" cy="112445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170293</xdr:colOff>
      <xdr:row>14</xdr:row>
      <xdr:rowOff>104106</xdr:rowOff>
    </xdr:from>
    <xdr:to>
      <xdr:col>15</xdr:col>
      <xdr:colOff>531209</xdr:colOff>
      <xdr:row>23</xdr:row>
      <xdr:rowOff>146137</xdr:rowOff>
    </xdr:to>
    <mc:AlternateContent xmlns:mc="http://schemas.openxmlformats.org/markup-compatibility/2006" xmlns:a14="http://schemas.microsoft.com/office/drawing/2010/main">
      <mc:Choice Requires="a14">
        <xdr:graphicFrame macro="">
          <xdr:nvGraphicFramePr>
            <xdr:cNvPr id="5" name="Stock.Color 1"/>
            <xdr:cNvGraphicFramePr/>
          </xdr:nvGraphicFramePr>
          <xdr:xfrm>
            <a:off x="0" y="0"/>
            <a:ext cx="0" cy="0"/>
          </xdr:xfrm>
          <a:graphic>
            <a:graphicData uri="http://schemas.microsoft.com/office/drawing/2010/slicer">
              <sle:slicer xmlns:sle="http://schemas.microsoft.com/office/drawing/2010/slicer" name="Stock.Color 1"/>
            </a:graphicData>
          </a:graphic>
        </xdr:graphicFrame>
      </mc:Choice>
      <mc:Fallback xmlns="">
        <xdr:sp macro="" textlink="">
          <xdr:nvSpPr>
            <xdr:cNvPr id="0" name=""/>
            <xdr:cNvSpPr>
              <a:spLocks noTextEdit="1"/>
            </xdr:cNvSpPr>
          </xdr:nvSpPr>
          <xdr:spPr>
            <a:xfrm>
              <a:off x="6963717" y="2519259"/>
              <a:ext cx="2181967" cy="166935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7620</xdr:colOff>
      <xdr:row>0</xdr:row>
      <xdr:rowOff>15240</xdr:rowOff>
    </xdr:from>
    <xdr:to>
      <xdr:col>25</xdr:col>
      <xdr:colOff>601980</xdr:colOff>
      <xdr:row>6</xdr:row>
      <xdr:rowOff>93945</xdr:rowOff>
    </xdr:to>
    <xdr:sp macro="" textlink="">
      <xdr:nvSpPr>
        <xdr:cNvPr id="6" name="Rectangle 5"/>
        <xdr:cNvSpPr/>
      </xdr:nvSpPr>
      <xdr:spPr>
        <a:xfrm>
          <a:off x="7620" y="15240"/>
          <a:ext cx="15249812" cy="1080787"/>
        </a:xfrm>
        <a:prstGeom prst="rect">
          <a:avLst/>
        </a:prstGeom>
        <a:solidFill>
          <a:schemeClr val="bg1"/>
        </a:solidFill>
        <a:ln>
          <a:solidFill>
            <a:srgbClr val="F4F6F9"/>
          </a:solid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5400" b="1">
              <a:solidFill>
                <a:srgbClr val="1B365D"/>
              </a:solidFill>
            </a:rPr>
            <a:t>Prestige Cars Sales Performance</a:t>
          </a:r>
        </a:p>
      </xdr:txBody>
    </xdr:sp>
    <xdr:clientData/>
  </xdr:twoCellAnchor>
  <xdr:twoCellAnchor>
    <xdr:from>
      <xdr:col>1</xdr:col>
      <xdr:colOff>348763</xdr:colOff>
      <xdr:row>7</xdr:row>
      <xdr:rowOff>121119</xdr:rowOff>
    </xdr:from>
    <xdr:to>
      <xdr:col>6</xdr:col>
      <xdr:colOff>16748</xdr:colOff>
      <xdr:row>12</xdr:row>
      <xdr:rowOff>16967</xdr:rowOff>
    </xdr:to>
    <xdr:sp macro="" textlink="">
      <xdr:nvSpPr>
        <xdr:cNvPr id="7" name="Rectangle 6"/>
        <xdr:cNvSpPr/>
      </xdr:nvSpPr>
      <xdr:spPr>
        <a:xfrm>
          <a:off x="474023" y="1311092"/>
          <a:ext cx="2695109" cy="835300"/>
        </a:xfrm>
        <a:prstGeom prst="rect">
          <a:avLst/>
        </a:prstGeom>
        <a:solidFill>
          <a:schemeClr val="bg1"/>
        </a:solidFill>
        <a:ln>
          <a:solidFill>
            <a:schemeClr val="bg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123310</xdr:colOff>
      <xdr:row>7</xdr:row>
      <xdr:rowOff>171363</xdr:rowOff>
    </xdr:from>
    <xdr:to>
      <xdr:col>5</xdr:col>
      <xdr:colOff>315903</xdr:colOff>
      <xdr:row>9</xdr:row>
      <xdr:rowOff>112748</xdr:rowOff>
    </xdr:to>
    <xdr:sp macro="" textlink="">
      <xdr:nvSpPr>
        <xdr:cNvPr id="11" name="TextBox 10"/>
        <xdr:cNvSpPr txBox="1"/>
      </xdr:nvSpPr>
      <xdr:spPr>
        <a:xfrm>
          <a:off x="853995" y="1361336"/>
          <a:ext cx="2008867" cy="317165"/>
        </a:xfrm>
        <a:prstGeom prst="rect">
          <a:avLst/>
        </a:prstGeom>
        <a:solidFill>
          <a:schemeClr val="bg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400" b="1">
              <a:solidFill>
                <a:srgbClr val="1B365D"/>
              </a:solidFill>
            </a:rPr>
            <a:t>Total</a:t>
          </a:r>
          <a:r>
            <a:rPr lang="en-US" sz="1600" b="1">
              <a:solidFill>
                <a:srgbClr val="1B365D"/>
              </a:solidFill>
            </a:rPr>
            <a:t> </a:t>
          </a:r>
          <a:r>
            <a:rPr lang="en-US" sz="2400" b="1">
              <a:solidFill>
                <a:srgbClr val="1B365D"/>
              </a:solidFill>
            </a:rPr>
            <a:t>Revenue</a:t>
          </a:r>
          <a:endParaRPr lang="en-US" sz="1600" b="1">
            <a:solidFill>
              <a:srgbClr val="1B365D"/>
            </a:solidFill>
          </a:endParaRPr>
        </a:p>
      </xdr:txBody>
    </xdr:sp>
    <xdr:clientData/>
  </xdr:twoCellAnchor>
  <xdr:twoCellAnchor>
    <xdr:from>
      <xdr:col>2</xdr:col>
      <xdr:colOff>209339</xdr:colOff>
      <xdr:row>9</xdr:row>
      <xdr:rowOff>168835</xdr:rowOff>
    </xdr:from>
    <xdr:to>
      <xdr:col>5</xdr:col>
      <xdr:colOff>216243</xdr:colOff>
      <xdr:row>11</xdr:row>
      <xdr:rowOff>67209</xdr:rowOff>
    </xdr:to>
    <xdr:sp macro="" textlink="$AJ$12">
      <xdr:nvSpPr>
        <xdr:cNvPr id="13" name="TextBox 12"/>
        <xdr:cNvSpPr txBox="1"/>
      </xdr:nvSpPr>
      <xdr:spPr>
        <a:xfrm>
          <a:off x="940024" y="1734588"/>
          <a:ext cx="1823178" cy="274155"/>
        </a:xfrm>
        <a:prstGeom prst="rect">
          <a:avLst/>
        </a:prstGeom>
        <a:solidFill>
          <a:schemeClr val="bg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8FBE849-ED02-4725-8C49-D6085AD653E1}" type="TxLink">
            <a:rPr lang="en-US" sz="1800" b="0" i="0" u="none" strike="noStrike">
              <a:solidFill>
                <a:srgbClr val="4AACC5"/>
              </a:solidFill>
              <a:latin typeface="Calibri"/>
              <a:ea typeface="Calibri"/>
              <a:cs typeface="Calibri"/>
            </a:rPr>
            <a:pPr algn="ctr"/>
            <a:t> $25,238,091.20 </a:t>
          </a:fld>
          <a:endParaRPr lang="en-US" sz="1800">
            <a:solidFill>
              <a:srgbClr val="4AACC5"/>
            </a:solidFill>
          </a:endParaRPr>
        </a:p>
      </xdr:txBody>
    </xdr:sp>
    <xdr:clientData/>
  </xdr:twoCellAnchor>
  <xdr:twoCellAnchor>
    <xdr:from>
      <xdr:col>8</xdr:col>
      <xdr:colOff>33496</xdr:colOff>
      <xdr:row>7</xdr:row>
      <xdr:rowOff>121119</xdr:rowOff>
    </xdr:from>
    <xdr:to>
      <xdr:col>12</xdr:col>
      <xdr:colOff>368440</xdr:colOff>
      <xdr:row>12</xdr:row>
      <xdr:rowOff>42088</xdr:rowOff>
    </xdr:to>
    <xdr:sp macro="" textlink="">
      <xdr:nvSpPr>
        <xdr:cNvPr id="14" name="Rectangle 13"/>
        <xdr:cNvSpPr/>
      </xdr:nvSpPr>
      <xdr:spPr>
        <a:xfrm>
          <a:off x="4396729" y="1311092"/>
          <a:ext cx="2756643" cy="860421"/>
        </a:xfrm>
        <a:prstGeom prst="rect">
          <a:avLst/>
        </a:prstGeom>
        <a:solidFill>
          <a:schemeClr val="bg1"/>
        </a:solidFill>
        <a:ln>
          <a:solidFill>
            <a:schemeClr val="bg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150726</xdr:colOff>
      <xdr:row>7</xdr:row>
      <xdr:rowOff>121119</xdr:rowOff>
    </xdr:from>
    <xdr:to>
      <xdr:col>18</xdr:col>
      <xdr:colOff>435428</xdr:colOff>
      <xdr:row>12</xdr:row>
      <xdr:rowOff>33713</xdr:rowOff>
    </xdr:to>
    <xdr:sp macro="" textlink="">
      <xdr:nvSpPr>
        <xdr:cNvPr id="15" name="Rectangle 14"/>
        <xdr:cNvSpPr/>
      </xdr:nvSpPr>
      <xdr:spPr>
        <a:xfrm>
          <a:off x="8146507" y="1311092"/>
          <a:ext cx="2706400" cy="852046"/>
        </a:xfrm>
        <a:prstGeom prst="rect">
          <a:avLst/>
        </a:prstGeom>
        <a:solidFill>
          <a:schemeClr val="bg1"/>
        </a:solidFill>
        <a:ln>
          <a:solidFill>
            <a:schemeClr val="bg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20</xdr:col>
      <xdr:colOff>376815</xdr:colOff>
      <xdr:row>7</xdr:row>
      <xdr:rowOff>129492</xdr:rowOff>
    </xdr:from>
    <xdr:to>
      <xdr:col>25</xdr:col>
      <xdr:colOff>584548</xdr:colOff>
      <xdr:row>12</xdr:row>
      <xdr:rowOff>25337</xdr:rowOff>
    </xdr:to>
    <xdr:sp macro="" textlink="">
      <xdr:nvSpPr>
        <xdr:cNvPr id="16" name="Rectangle 15"/>
        <xdr:cNvSpPr/>
      </xdr:nvSpPr>
      <xdr:spPr>
        <a:xfrm>
          <a:off x="12005144" y="1319465"/>
          <a:ext cx="3234856" cy="835297"/>
        </a:xfrm>
        <a:prstGeom prst="rect">
          <a:avLst/>
        </a:prstGeom>
        <a:solidFill>
          <a:schemeClr val="bg1"/>
        </a:solidFill>
        <a:ln>
          <a:solidFill>
            <a:schemeClr val="bg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50240</xdr:colOff>
      <xdr:row>7</xdr:row>
      <xdr:rowOff>103664</xdr:rowOff>
    </xdr:from>
    <xdr:to>
      <xdr:col>11</xdr:col>
      <xdr:colOff>494042</xdr:colOff>
      <xdr:row>9</xdr:row>
      <xdr:rowOff>66500</xdr:rowOff>
    </xdr:to>
    <xdr:sp macro="" textlink="">
      <xdr:nvSpPr>
        <xdr:cNvPr id="19" name="TextBox 18"/>
        <xdr:cNvSpPr txBox="1"/>
      </xdr:nvSpPr>
      <xdr:spPr>
        <a:xfrm>
          <a:off x="5022613" y="1253122"/>
          <a:ext cx="1657836" cy="324463"/>
        </a:xfrm>
        <a:prstGeom prst="rect">
          <a:avLst/>
        </a:prstGeom>
        <a:solidFill>
          <a:schemeClr val="bg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a:solidFill>
                <a:srgbClr val="1B365D"/>
              </a:solidFill>
            </a:rPr>
            <a:t>Total Profit</a:t>
          </a:r>
        </a:p>
      </xdr:txBody>
    </xdr:sp>
    <xdr:clientData/>
  </xdr:twoCellAnchor>
  <xdr:twoCellAnchor>
    <xdr:from>
      <xdr:col>8</xdr:col>
      <xdr:colOff>552661</xdr:colOff>
      <xdr:row>10</xdr:row>
      <xdr:rowOff>26048</xdr:rowOff>
    </xdr:from>
    <xdr:to>
      <xdr:col>11</xdr:col>
      <xdr:colOff>452176</xdr:colOff>
      <xdr:row>11</xdr:row>
      <xdr:rowOff>172073</xdr:rowOff>
    </xdr:to>
    <xdr:sp macro="" textlink="$AJ$11">
      <xdr:nvSpPr>
        <xdr:cNvPr id="20" name="TextBox 19"/>
        <xdr:cNvSpPr txBox="1"/>
      </xdr:nvSpPr>
      <xdr:spPr>
        <a:xfrm>
          <a:off x="4918017" y="1717946"/>
          <a:ext cx="1720566" cy="326839"/>
        </a:xfrm>
        <a:prstGeom prst="rect">
          <a:avLst/>
        </a:prstGeom>
        <a:solidFill>
          <a:schemeClr val="bg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3D3378D-E75B-4BEA-AAFF-8649B7F5C979}" type="TxLink">
            <a:rPr lang="en-US" sz="1800" b="0" i="0" u="none" strike="noStrike">
              <a:solidFill>
                <a:srgbClr val="4AACC5"/>
              </a:solidFill>
              <a:latin typeface="Calibri"/>
              <a:ea typeface="Calibri"/>
              <a:cs typeface="Calibri"/>
            </a:rPr>
            <a:pPr algn="ctr"/>
            <a:t> $6,514,949.20 </a:t>
          </a:fld>
          <a:endParaRPr lang="en-US" sz="2400">
            <a:solidFill>
              <a:srgbClr val="4AACC5"/>
            </a:solidFill>
          </a:endParaRPr>
        </a:p>
      </xdr:txBody>
    </xdr:sp>
    <xdr:clientData/>
  </xdr:twoCellAnchor>
  <xdr:twoCellAnchor>
    <xdr:from>
      <xdr:col>15</xdr:col>
      <xdr:colOff>8373</xdr:colOff>
      <xdr:row>7</xdr:row>
      <xdr:rowOff>171363</xdr:rowOff>
    </xdr:from>
    <xdr:to>
      <xdr:col>17</xdr:col>
      <xdr:colOff>527538</xdr:colOff>
      <xdr:row>9</xdr:row>
      <xdr:rowOff>171364</xdr:rowOff>
    </xdr:to>
    <xdr:sp macro="" textlink="">
      <xdr:nvSpPr>
        <xdr:cNvPr id="21" name="TextBox 20"/>
        <xdr:cNvSpPr txBox="1"/>
      </xdr:nvSpPr>
      <xdr:spPr>
        <a:xfrm>
          <a:off x="8609578" y="1361336"/>
          <a:ext cx="1730015" cy="375781"/>
        </a:xfrm>
        <a:prstGeom prst="rect">
          <a:avLst/>
        </a:prstGeom>
        <a:solidFill>
          <a:schemeClr val="bg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400" b="1">
              <a:solidFill>
                <a:srgbClr val="1B365D"/>
              </a:solidFill>
            </a:rPr>
            <a:t>Margin</a:t>
          </a:r>
        </a:p>
      </xdr:txBody>
    </xdr:sp>
    <xdr:clientData/>
  </xdr:twoCellAnchor>
  <xdr:twoCellAnchor>
    <xdr:from>
      <xdr:col>15</xdr:col>
      <xdr:colOff>58614</xdr:colOff>
      <xdr:row>10</xdr:row>
      <xdr:rowOff>16967</xdr:rowOff>
    </xdr:from>
    <xdr:to>
      <xdr:col>17</xdr:col>
      <xdr:colOff>418681</xdr:colOff>
      <xdr:row>11</xdr:row>
      <xdr:rowOff>112749</xdr:rowOff>
    </xdr:to>
    <xdr:sp macro="" textlink="$AJ$13">
      <xdr:nvSpPr>
        <xdr:cNvPr id="22" name="TextBox 21"/>
        <xdr:cNvSpPr txBox="1"/>
      </xdr:nvSpPr>
      <xdr:spPr>
        <a:xfrm>
          <a:off x="8659819" y="1770611"/>
          <a:ext cx="1570917" cy="283672"/>
        </a:xfrm>
        <a:prstGeom prst="rect">
          <a:avLst/>
        </a:prstGeom>
        <a:solidFill>
          <a:schemeClr val="bg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17CF447-F38B-447A-8EAA-5ECF20F916BB}" type="TxLink">
            <a:rPr lang="en-US" sz="1800" b="0" i="0" u="none" strike="noStrike">
              <a:solidFill>
                <a:srgbClr val="4AACC5"/>
              </a:solidFill>
              <a:latin typeface="Calibri"/>
              <a:ea typeface="Calibri"/>
              <a:cs typeface="Calibri"/>
            </a:rPr>
            <a:pPr algn="ctr"/>
            <a:t>25.8%</a:t>
          </a:fld>
          <a:endParaRPr lang="en-US" sz="1800">
            <a:solidFill>
              <a:srgbClr val="4AACC5"/>
            </a:solidFill>
          </a:endParaRPr>
        </a:p>
      </xdr:txBody>
    </xdr:sp>
    <xdr:clientData/>
  </xdr:twoCellAnchor>
  <xdr:twoCellAnchor>
    <xdr:from>
      <xdr:col>21</xdr:col>
      <xdr:colOff>167471</xdr:colOff>
      <xdr:row>7</xdr:row>
      <xdr:rowOff>146241</xdr:rowOff>
    </xdr:from>
    <xdr:to>
      <xdr:col>25</xdr:col>
      <xdr:colOff>41867</xdr:colOff>
      <xdr:row>10</xdr:row>
      <xdr:rowOff>137867</xdr:rowOff>
    </xdr:to>
    <xdr:sp macro="" textlink="">
      <xdr:nvSpPr>
        <xdr:cNvPr id="23" name="TextBox 22"/>
        <xdr:cNvSpPr txBox="1"/>
      </xdr:nvSpPr>
      <xdr:spPr>
        <a:xfrm>
          <a:off x="12401224" y="1336214"/>
          <a:ext cx="2296095" cy="555297"/>
        </a:xfrm>
        <a:prstGeom prst="rect">
          <a:avLst/>
        </a:prstGeom>
        <a:solidFill>
          <a:schemeClr val="bg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400" b="1">
              <a:solidFill>
                <a:srgbClr val="1B365D"/>
              </a:solidFill>
            </a:rPr>
            <a:t>Top Selling</a:t>
          </a:r>
          <a:r>
            <a:rPr lang="en-US" sz="2400" b="1" baseline="0">
              <a:solidFill>
                <a:srgbClr val="1B365D"/>
              </a:solidFill>
            </a:rPr>
            <a:t> Make</a:t>
          </a:r>
          <a:endParaRPr lang="en-US" sz="2400" b="1">
            <a:solidFill>
              <a:srgbClr val="1B365D"/>
            </a:solidFill>
          </a:endParaRPr>
        </a:p>
      </xdr:txBody>
    </xdr:sp>
    <xdr:clientData/>
  </xdr:twoCellAnchor>
  <xdr:twoCellAnchor>
    <xdr:from>
      <xdr:col>21</xdr:col>
      <xdr:colOff>586154</xdr:colOff>
      <xdr:row>9</xdr:row>
      <xdr:rowOff>171363</xdr:rowOff>
    </xdr:from>
    <xdr:to>
      <xdr:col>24</xdr:col>
      <xdr:colOff>58616</xdr:colOff>
      <xdr:row>11</xdr:row>
      <xdr:rowOff>171364</xdr:rowOff>
    </xdr:to>
    <xdr:sp macro="" textlink="$AJ$14">
      <xdr:nvSpPr>
        <xdr:cNvPr id="24" name="TextBox 23"/>
        <xdr:cNvSpPr txBox="1"/>
      </xdr:nvSpPr>
      <xdr:spPr>
        <a:xfrm>
          <a:off x="12819907" y="1737116"/>
          <a:ext cx="1288736" cy="375782"/>
        </a:xfrm>
        <a:prstGeom prst="rect">
          <a:avLst/>
        </a:prstGeom>
        <a:solidFill>
          <a:schemeClr val="bg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C4C5666-7EE2-4BB5-A73C-26CFC645D6C9}" type="TxLink">
            <a:rPr lang="en-US" sz="1800" b="0" i="0" u="none" strike="noStrike">
              <a:solidFill>
                <a:srgbClr val="4AACC5"/>
              </a:solidFill>
              <a:latin typeface="Calibri"/>
              <a:ea typeface="Calibri"/>
              <a:cs typeface="Calibri"/>
            </a:rPr>
            <a:pPr algn="ctr"/>
            <a:t>Ferrari</a:t>
          </a:fld>
          <a:endParaRPr lang="en-US" sz="1800">
            <a:solidFill>
              <a:srgbClr val="4AACC5"/>
            </a:solidFill>
          </a:endParaRPr>
        </a:p>
      </xdr:txBody>
    </xdr:sp>
    <xdr:clientData/>
  </xdr:twoCellAnchor>
  <xdr:twoCellAnchor editAs="oneCell">
    <xdr:from>
      <xdr:col>1</xdr:col>
      <xdr:colOff>249372</xdr:colOff>
      <xdr:row>14</xdr:row>
      <xdr:rowOff>158756</xdr:rowOff>
    </xdr:from>
    <xdr:to>
      <xdr:col>10</xdr:col>
      <xdr:colOff>448849</xdr:colOff>
      <xdr:row>23</xdr:row>
      <xdr:rowOff>135699</xdr:rowOff>
    </xdr:to>
    <mc:AlternateContent xmlns:mc="http://schemas.openxmlformats.org/markup-compatibility/2006" xmlns:tsle="http://schemas.microsoft.com/office/drawing/2012/timeslicer">
      <mc:Choice Requires="tsle">
        <xdr:graphicFrame macro="">
          <xdr:nvGraphicFramePr>
            <xdr:cNvPr id="25" name="SaleDate 1"/>
            <xdr:cNvGraphicFramePr/>
          </xdr:nvGraphicFramePr>
          <xdr:xfrm>
            <a:off x="0" y="0"/>
            <a:ext cx="0" cy="0"/>
          </xdr:xfrm>
          <a:graphic>
            <a:graphicData uri="http://schemas.microsoft.com/office/drawing/2012/timeslicer">
              <tsle:timeslicer name="SaleDate 1"/>
            </a:graphicData>
          </a:graphic>
        </xdr:graphicFrame>
      </mc:Choice>
      <mc:Fallback xmlns="">
        <xdr:sp macro="" textlink="">
          <xdr:nvSpPr>
            <xdr:cNvPr id="0" name=""/>
            <xdr:cNvSpPr>
              <a:spLocks noTextEdit="1"/>
            </xdr:cNvSpPr>
          </xdr:nvSpPr>
          <xdr:spPr>
            <a:xfrm>
              <a:off x="365609" y="2573909"/>
              <a:ext cx="5662630" cy="1604265"/>
            </a:xfrm>
            <a:prstGeom prst="rect">
              <a:avLst/>
            </a:prstGeom>
            <a:solidFill>
              <a:prstClr val="white"/>
            </a:solidFill>
            <a:ln w="1">
              <a:solidFill>
                <a:prstClr val="green"/>
              </a:solidFill>
            </a:ln>
          </xdr:spPr>
          <xdr:txBody>
            <a:bodyPr vertOverflow="clip" horzOverflow="clip"/>
            <a:lstStyle/>
            <a:p>
              <a:r>
                <a:rPr lang="en-US" sz="1100"/>
                <a:t>Timeline: Works in Excel or higher. Do not move or resize.</a:t>
              </a:r>
            </a:p>
          </xdr:txBody>
        </xdr:sp>
      </mc:Fallback>
    </mc:AlternateContent>
    <xdr:clientData/>
  </xdr:twoCellAnchor>
  <xdr:twoCellAnchor editAs="oneCell">
    <xdr:from>
      <xdr:col>16</xdr:col>
      <xdr:colOff>560229</xdr:colOff>
      <xdr:row>14</xdr:row>
      <xdr:rowOff>87752</xdr:rowOff>
    </xdr:from>
    <xdr:to>
      <xdr:col>20</xdr:col>
      <xdr:colOff>443000</xdr:colOff>
      <xdr:row>23</xdr:row>
      <xdr:rowOff>156575</xdr:rowOff>
    </xdr:to>
    <mc:AlternateContent xmlns:mc="http://schemas.openxmlformats.org/markup-compatibility/2006" xmlns:a14="http://schemas.microsoft.com/office/drawing/2010/main">
      <mc:Choice Requires="a14">
        <xdr:graphicFrame macro="">
          <xdr:nvGraphicFramePr>
            <xdr:cNvPr id="26" name="MakeName 2"/>
            <xdr:cNvGraphicFramePr/>
          </xdr:nvGraphicFramePr>
          <xdr:xfrm>
            <a:off x="0" y="0"/>
            <a:ext cx="0" cy="0"/>
          </xdr:xfrm>
          <a:graphic>
            <a:graphicData uri="http://schemas.microsoft.com/office/drawing/2010/slicer">
              <sle:slicer xmlns:sle="http://schemas.microsoft.com/office/drawing/2010/slicer" name="MakeName 2"/>
            </a:graphicData>
          </a:graphic>
        </xdr:graphicFrame>
      </mc:Choice>
      <mc:Fallback xmlns="">
        <xdr:sp macro="" textlink="">
          <xdr:nvSpPr>
            <xdr:cNvPr id="0" name=""/>
            <xdr:cNvSpPr>
              <a:spLocks noTextEdit="1"/>
            </xdr:cNvSpPr>
          </xdr:nvSpPr>
          <xdr:spPr>
            <a:xfrm>
              <a:off x="9781721" y="2502905"/>
              <a:ext cx="2310838" cy="169614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18</xdr:col>
      <xdr:colOff>392565</xdr:colOff>
      <xdr:row>43</xdr:row>
      <xdr:rowOff>156954</xdr:rowOff>
    </xdr:from>
    <xdr:to>
      <xdr:col>26</xdr:col>
      <xdr:colOff>142068</xdr:colOff>
      <xdr:row>58</xdr:row>
      <xdr:rowOff>136856</xdr:rowOff>
    </xdr:to>
    <xdr:graphicFrame macro="">
      <xdr:nvGraphicFramePr>
        <xdr:cNvPr id="27" name="top 5by cost"/>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210028</xdr:colOff>
      <xdr:row>26</xdr:row>
      <xdr:rowOff>115054</xdr:rowOff>
    </xdr:from>
    <xdr:to>
      <xdr:col>16</xdr:col>
      <xdr:colOff>407096</xdr:colOff>
      <xdr:row>41</xdr:row>
      <xdr:rowOff>94957</xdr:rowOff>
    </xdr:to>
    <xdr:graphicFrame macro="">
      <xdr:nvGraphicFramePr>
        <xdr:cNvPr id="28" name="Chart 2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285277</xdr:colOff>
      <xdr:row>26</xdr:row>
      <xdr:rowOff>125489</xdr:rowOff>
    </xdr:from>
    <xdr:to>
      <xdr:col>26</xdr:col>
      <xdr:colOff>41753</xdr:colOff>
      <xdr:row>41</xdr:row>
      <xdr:rowOff>105392</xdr:rowOff>
    </xdr:to>
    <xdr:graphicFrame macro="">
      <xdr:nvGraphicFramePr>
        <xdr:cNvPr id="29" name="region by sales"/>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497152</xdr:colOff>
      <xdr:row>43</xdr:row>
      <xdr:rowOff>138823</xdr:rowOff>
    </xdr:from>
    <xdr:to>
      <xdr:col>18</xdr:col>
      <xdr:colOff>188477</xdr:colOff>
      <xdr:row>58</xdr:row>
      <xdr:rowOff>118725</xdr:rowOff>
    </xdr:to>
    <xdr:graphicFrame macro="">
      <xdr:nvGraphicFramePr>
        <xdr:cNvPr id="30" name="top 5 by profit"/>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197117</xdr:colOff>
      <xdr:row>43</xdr:row>
      <xdr:rowOff>96511</xdr:rowOff>
    </xdr:from>
    <xdr:to>
      <xdr:col>10</xdr:col>
      <xdr:colOff>374542</xdr:colOff>
      <xdr:row>58</xdr:row>
      <xdr:rowOff>73475</xdr:rowOff>
    </xdr:to>
    <xdr:graphicFrame macro="">
      <xdr:nvGraphicFramePr>
        <xdr:cNvPr id="31" name="profit by country"/>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21</xdr:col>
      <xdr:colOff>73069</xdr:colOff>
      <xdr:row>0</xdr:row>
      <xdr:rowOff>20877</xdr:rowOff>
    </xdr:from>
    <xdr:to>
      <xdr:col>25</xdr:col>
      <xdr:colOff>407095</xdr:colOff>
      <xdr:row>7</xdr:row>
      <xdr:rowOff>62630</xdr:rowOff>
    </xdr:to>
    <xdr:pic>
      <xdr:nvPicPr>
        <xdr:cNvPr id="9" name="Picture 8"/>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12306822" y="20877"/>
          <a:ext cx="2755725" cy="1231726"/>
        </a:xfrm>
        <a:prstGeom prst="rect">
          <a:avLst/>
        </a:prstGeom>
        <a:ln>
          <a:noFill/>
        </a:ln>
        <a:effectLst>
          <a:softEdge rad="112500"/>
        </a:effectLst>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hp" refreshedDate="46070.92228564815" createdVersion="6" refreshedVersion="6" minRefreshableVersion="3" recordCount="351">
  <cacheSource type="worksheet">
    <worksheetSource name="Table1"/>
  </cacheSource>
  <cacheFields count="32">
    <cacheField name="SalesDetailsID" numFmtId="0">
      <sharedItems containsSemiMixedTypes="0" containsString="0" containsNumber="1" containsInteger="1" minValue="1" maxValue="351"/>
    </cacheField>
    <cacheField name="SalesID" numFmtId="0">
      <sharedItems containsSemiMixedTypes="0" containsString="0" containsNumber="1" containsInteger="1" minValue="1" maxValue="324"/>
    </cacheField>
    <cacheField name="LineItemNumber" numFmtId="0">
      <sharedItems containsSemiMixedTypes="0" containsString="0" containsNumber="1" containsInteger="1" minValue="1" maxValue="4"/>
    </cacheField>
    <cacheField name="StockID" numFmtId="0">
      <sharedItems/>
    </cacheField>
    <cacheField name="SalePrice" numFmtId="0">
      <sharedItems containsSemiMixedTypes="0" containsString="0" containsNumber="1" containsInteger="1" minValue="950" maxValue="395000"/>
    </cacheField>
    <cacheField name="LineItemDiscount" numFmtId="0">
      <sharedItems containsSemiMixedTypes="0" containsString="0" containsNumber="1" minValue="25" maxValue="60000"/>
    </cacheField>
    <cacheField name="CustomerID" numFmtId="0">
      <sharedItems containsSemiMixedTypes="0" containsString="0" containsNumber="1" containsInteger="1" minValue="1" maxValue="87"/>
    </cacheField>
    <cacheField name="SaleDate" numFmtId="164">
      <sharedItems containsSemiMixedTypes="0" containsNonDate="0" containsDate="1" containsString="0" minDate="2015-01-02T08:00:00" maxDate="2019-01-01T00:00:00" count="232">
        <d v="2015-01-02T08:00:00"/>
        <d v="2015-01-25T00:00:00"/>
        <d v="2015-02-03T10:00:00"/>
        <d v="2015-02-16T08:00:00"/>
        <d v="2015-01-02T10:33:00"/>
        <d v="2015-03-14T00:00:00"/>
        <d v="2015-03-24T00:00:00"/>
        <d v="2015-03-30T00:00:00"/>
        <d v="2015-04-06T00:00:00"/>
        <d v="2015-04-04T00:00:00"/>
        <d v="2015-04-30T00:00:00"/>
        <d v="2015-05-10T00:00:00"/>
        <d v="2015-05-20T00:00:00"/>
        <d v="2015-05-28T00:00:00"/>
        <d v="2015-06-04T16:37:00"/>
        <d v="2015-07-12T10:00:00"/>
        <d v="2015-07-15T00:00:00"/>
        <d v="2015-07-25T00:00:00"/>
        <d v="2015-08-02T08:00:00"/>
        <d v="2015-09-05T00:00:00"/>
        <d v="2015-09-15T10:00:00"/>
        <d v="2015-09-15T00:00:00"/>
        <d v="2015-10-30T00:00:00"/>
        <d v="2015-11-10T00:00:00"/>
        <d v="2015-12-01T08:00:00"/>
        <d v="2016-01-01T00:00:00"/>
        <d v="2016-01-01T08:00:00"/>
        <d v="2016-01-07T00:00:00"/>
        <d v="2016-01-09T00:00:00"/>
        <d v="2016-01-22T00:00:00"/>
        <d v="2016-02-22T00:00:00"/>
        <d v="2016-02-17T00:00:00"/>
        <d v="2016-02-16T00:00:00"/>
        <d v="2016-02-28T10:10:00"/>
        <d v="2016-03-20T00:00:00"/>
        <d v="2016-04-05T00:00:00"/>
        <d v="2016-04-30T00:00:00"/>
        <d v="2016-04-30T11:27:00"/>
        <d v="2016-05-30T00:00:00"/>
        <d v="2016-06-15T00:00:00"/>
        <d v="2016-07-01T08:00:00"/>
        <d v="2016-07-06T00:00:00"/>
        <d v="2016-07-25T10:00:00"/>
        <d v="2016-07-25T00:00:00"/>
        <d v="2016-07-26T00:00:00"/>
        <d v="2016-07-26T10:00:00"/>
        <d v="2016-08-02T00:00:00"/>
        <d v="2016-08-09T00:00:00"/>
        <d v="2016-08-10T00:00:00"/>
        <d v="2016-08-12T10:00:00"/>
        <d v="2016-08-13T00:00:00"/>
        <d v="2016-08-19T00:00:00"/>
        <d v="2016-08-21T00:00:00"/>
        <d v="2016-08-22T08:00:00"/>
        <d v="2016-08-23T00:00:00"/>
        <d v="2016-08-24T00:00:00"/>
        <d v="2016-08-25T00:00:00"/>
        <d v="2016-08-28T00:00:00"/>
        <d v="2016-08-29T00:00:00"/>
        <d v="2016-08-30T00:00:00"/>
        <d v="2016-09-04T00:00:00"/>
        <d v="2016-09-06T00:00:00"/>
        <d v="2016-09-07T00:00:00"/>
        <d v="2016-09-11T00:00:00"/>
        <d v="2016-09-14T00:00:00"/>
        <d v="2016-09-16T00:00:00"/>
        <d v="2016-09-18T00:00:00"/>
        <d v="2016-09-19T00:00:00"/>
        <d v="2016-10-05T00:00:00"/>
        <d v="2016-10-05T10:00:00"/>
        <d v="2016-10-30T00:00:00"/>
        <d v="2016-11-03T00:00:00"/>
        <d v="2016-11-04T00:00:00"/>
        <d v="2016-12-02T00:00:00"/>
        <d v="2016-12-06T00:00:00"/>
        <d v="2016-12-08T00:00:00"/>
        <d v="2016-12-20T00:00:00"/>
        <d v="2016-12-28T00:00:00"/>
        <d v="2016-12-31T10:00:00"/>
        <d v="2017-01-01T11:12:00"/>
        <d v="2017-01-05T11:55:00"/>
        <d v="2017-01-10T15:56:00"/>
        <d v="2017-01-21T13:56:00"/>
        <d v="2017-01-11T17:52:00"/>
        <d v="2017-01-12T18:57:00"/>
        <d v="2017-01-13T19:58:00"/>
        <d v="2017-01-14T09:58:00"/>
        <d v="2017-01-30T10:59:00"/>
        <d v="2017-01-31T09:59:00"/>
        <d v="2017-01-31T12:00:00"/>
        <d v="2017-02-07T20:00:00"/>
        <d v="2017-02-08T13:01:00"/>
        <d v="2017-02-09T17:01:00"/>
        <d v="2017-02-10T11:02:00"/>
        <d v="2017-02-12T16:02:00"/>
        <d v="2017-02-14T14:03:00"/>
        <d v="2017-03-05T18:03:00"/>
        <d v="2017-03-05T19:04:00"/>
        <d v="2017-03-05T14:04:00"/>
        <d v="2017-03-10T20:05:00"/>
        <d v="2017-03-10T16:05:00"/>
        <d v="2017-03-12T17:06:00"/>
        <d v="2017-03-12T20:06:00"/>
        <d v="2017-03-25T10:07:00"/>
        <d v="2017-03-30T13:07:00"/>
        <d v="2017-03-31T13:08:00"/>
        <d v="2017-03-31T16:08:00"/>
        <d v="2017-03-31T18:09:00"/>
        <d v="2017-03-31T14:09:00"/>
        <d v="2017-04-05T20:10:00"/>
        <d v="2017-04-06T19:10:00"/>
        <d v="2017-04-07T12:11:00"/>
        <d v="2017-05-01T17:12:00"/>
        <d v="2017-05-01T10:12:00"/>
        <d v="2017-05-09T18:13:00"/>
        <d v="2017-05-09T12:13:00"/>
        <d v="2017-05-10T20:14:00"/>
        <d v="2017-05-10T16:14:00"/>
        <d v="2017-05-10T11:15:00"/>
        <d v="2017-05-12T13:15:00"/>
        <d v="2017-05-13T20:16:00"/>
        <d v="2017-05-16T16:16:00"/>
        <d v="2017-05-19T21:17:00"/>
        <d v="2017-05-20T14:17:00"/>
        <d v="2017-05-21T16:18:00"/>
        <d v="2017-05-22T11:18:00"/>
        <d v="2017-05-23T09:19:00"/>
        <d v="2017-05-24T17:19:00"/>
        <d v="2017-05-26T10:20:00"/>
        <d v="2017-05-27T21:20:00"/>
        <d v="2017-06-01T20:21:00"/>
        <d v="2017-06-01T12:21:00"/>
        <d v="2017-06-15T21:22:00"/>
        <d v="2017-06-15T20:22:00"/>
        <d v="2017-06-15T16:23:00"/>
        <d v="2017-06-15T10:23:00"/>
        <d v="2017-06-15T18:24:00"/>
        <d v="2017-06-22T18:24:00"/>
        <d v="2017-06-24T09:25:00"/>
        <d v="2017-07-01T10:25:00"/>
        <d v="2017-07-01T18:26:00"/>
        <d v="2017-07-03T19:26:00"/>
        <d v="2017-07-31T20:27:00"/>
        <d v="2017-07-31T19:27:00"/>
        <d v="2017-07-31T17:28:00"/>
        <d v="2017-08-04T21:29:00"/>
        <d v="2017-08-04T11:29:00"/>
        <d v="2017-08-06T14:30:00"/>
        <d v="2017-08-07T13:30:00"/>
        <d v="2017-08-27T13:31:00"/>
        <d v="2017-08-30T19:31:00"/>
        <d v="2017-09-20T14:32:00"/>
        <d v="2017-09-20T12:32:00"/>
        <d v="2017-09-20T16:33:00"/>
        <d v="2017-09-26T10:33:00"/>
        <d v="2017-10-15T16:34:00"/>
        <d v="2017-10-15T18:34:00"/>
        <d v="2017-11-01T19:35:00"/>
        <d v="2017-11-01T12:35:00"/>
        <d v="2017-11-01T17:36:00"/>
        <d v="2017-11-06T21:36:00"/>
        <d v="2017-11-12T11:37:00"/>
        <d v="2017-12-01T17:37:00"/>
        <d v="2017-12-01T21:38:00"/>
        <d v="2017-12-05T12:38:00"/>
        <d v="2017-12-05T11:39:00"/>
        <d v="2017-12-10T10:39:00"/>
        <d v="2017-12-10T16:40:00"/>
        <d v="2017-12-10T17:40:00"/>
        <d v="2017-12-10T12:41:00"/>
        <d v="2017-12-12T14:41:00"/>
        <d v="2017-12-27T17:42:00"/>
        <d v="2017-12-27T12:42:00"/>
        <d v="2018-01-02T00:00:00"/>
        <d v="2018-01-05T00:00:00"/>
        <d v="2018-01-10T00:00:00"/>
        <d v="2018-01-15T00:00:00"/>
        <d v="2018-02-10T00:00:00"/>
        <d v="2018-02-11T00:00:00"/>
        <d v="2018-02-12T00:00:00"/>
        <d v="2018-02-13T00:00:00"/>
        <d v="2018-02-14T00:00:00"/>
        <d v="2018-02-17T00:00:00"/>
        <d v="2018-03-05T00:00:00"/>
        <d v="2018-03-08T00:00:00"/>
        <d v="2018-03-15T00:00:00"/>
        <d v="2018-03-19T00:00:00"/>
        <d v="2018-04-02T00:00:00"/>
        <d v="2018-04-09T00:00:00"/>
        <d v="2018-04-10T00:00:00"/>
        <d v="2018-04-11T00:00:00"/>
        <d v="2018-04-15T00:00:00"/>
        <d v="2018-04-20T00:00:00"/>
        <d v="2018-04-22T00:00:00"/>
        <d v="2018-04-23T00:00:00"/>
        <d v="2018-04-24T00:00:00"/>
        <d v="2018-04-29T00:00:00"/>
        <d v="2018-05-03T00:00:00"/>
        <d v="2018-05-15T00:00:00"/>
        <d v="2018-05-23T00:00:00"/>
        <d v="2018-05-25T00:00:00"/>
        <d v="2018-06-03T00:00:00"/>
        <d v="2018-06-16T00:00:00"/>
        <d v="2018-06-18T00:00:00"/>
        <d v="2018-06-22T00:00:00"/>
        <d v="2018-06-23T00:00:00"/>
        <d v="2018-07-05T00:00:00"/>
        <d v="2018-07-10T00:00:00"/>
        <d v="2018-07-15T00:00:00"/>
        <d v="2018-07-25T00:00:00"/>
        <d v="2018-07-30T00:00:00"/>
        <d v="2018-07-31T00:00:00"/>
        <d v="2018-08-01T00:00:00"/>
        <d v="2018-08-10T00:00:00"/>
        <d v="2018-08-11T00:00:00"/>
        <d v="2018-08-15T00:00:00"/>
        <d v="2018-08-16T00:00:00"/>
        <d v="2018-08-18T00:00:00"/>
        <d v="2018-09-01T00:00:00"/>
        <d v="2018-09-04T00:00:00"/>
        <d v="2018-09-08T00:00:00"/>
        <d v="2018-09-15T00:00:00"/>
        <d v="2018-10-02T00:00:00"/>
        <d v="2018-10-31T00:00:00"/>
        <d v="2018-11-02T00:00:00"/>
        <d v="2018-11-15T00:00:00"/>
        <d v="2018-11-22T00:00:00"/>
        <d v="2018-12-05T00:00:00"/>
        <d v="2018-12-08T00:00:00"/>
        <d v="2018-12-16T00:00:00"/>
        <d v="2018-12-17T00:00:00"/>
        <d v="2018-12-31T00:00:00"/>
      </sharedItems>
      <fieldGroup base="7">
        <rangePr groupBy="months" startDate="2015-01-02T08:00:00" endDate="2019-01-01T00:00:00"/>
        <groupItems count="14">
          <s v="&lt;1/2/2015"/>
          <s v="Jan"/>
          <s v="Feb"/>
          <s v="Mar"/>
          <s v="Apr"/>
          <s v="May"/>
          <s v="Jun"/>
          <s v="Jul"/>
          <s v="Aug"/>
          <s v="Sep"/>
          <s v="Oct"/>
          <s v="Nov"/>
          <s v="Dec"/>
          <s v="&gt;1/1/2019"/>
        </groupItems>
      </fieldGroup>
    </cacheField>
    <cacheField name="Data Sales.ID" numFmtId="0">
      <sharedItems containsSemiMixedTypes="0" containsString="0" containsNumber="1" containsInteger="1" minValue="1" maxValue="324"/>
    </cacheField>
    <cacheField name="CustomerName" numFmtId="0">
      <sharedItems/>
    </cacheField>
    <cacheField name="Customer.Address1" numFmtId="0">
      <sharedItems/>
    </cacheField>
    <cacheField name="Customer.Town" numFmtId="0">
      <sharedItems/>
    </cacheField>
    <cacheField name="Customer.Country" numFmtId="0">
      <sharedItems/>
    </cacheField>
    <cacheField name="CountryName" numFmtId="0">
      <sharedItems count="8">
        <s v="United Kingdom"/>
        <s v="Germany"/>
        <s v="France"/>
        <s v="United States"/>
        <s v="Switzerland"/>
        <s v="Spain"/>
        <s v="Italy"/>
        <s v="Belgium"/>
      </sharedItems>
    </cacheField>
    <cacheField name="Country.SalesRegion" numFmtId="0">
      <sharedItems count="2">
        <s v="EMEA"/>
        <s v="North America"/>
      </sharedItems>
    </cacheField>
    <cacheField name="ModelID" numFmtId="0">
      <sharedItems containsSemiMixedTypes="0" containsString="0" containsNumber="1" containsInteger="1" minValue="1" maxValue="985"/>
    </cacheField>
    <cacheField name="Stock.Cost" numFmtId="0">
      <sharedItems containsSemiMixedTypes="0" containsString="0" containsNumber="1" containsInteger="1" minValue="760" maxValue="316000"/>
    </cacheField>
    <cacheField name="Stock.RepairsCost" numFmtId="0">
      <sharedItems containsSemiMixedTypes="0" containsString="0" containsNumber="1" containsInteger="1" minValue="140" maxValue="9250"/>
    </cacheField>
    <cacheField name="Stock.PartsCost" numFmtId="0">
      <sharedItems containsSemiMixedTypes="0" containsString="0" containsNumber="1" minValue="0" maxValue="7900"/>
    </cacheField>
    <cacheField name="Stock.TransportInCost" numFmtId="0">
      <sharedItems containsSemiMixedTypes="0" containsString="0" containsNumber="1" containsInteger="1" minValue="150" maxValue="1950"/>
    </cacheField>
    <cacheField name="TotalSalePrice" numFmtId="0">
      <sharedItems containsSemiMixedTypes="0" containsString="0" containsNumber="1" minValue="950" maxValue="395000"/>
    </cacheField>
    <cacheField name="Total Cost" numFmtId="0">
      <sharedItems containsSemiMixedTypes="0" containsString="0" containsNumber="1" containsInteger="1" minValue="1592" maxValue="329400"/>
    </cacheField>
    <cacheField name="Profit Percentege" numFmtId="0">
      <sharedItems containsSemiMixedTypes="0" containsString="0" containsNumber="1" minValue="-0.56018518518518512" maxValue="23.555722891566269"/>
    </cacheField>
    <cacheField name="PROFIT" numFmtId="0">
      <sharedItems containsSemiMixedTypes="0" containsString="0" containsNumber="1" minValue="-1210" maxValue="285650"/>
    </cacheField>
    <cacheField name="Stock.Color" numFmtId="0">
      <sharedItems count="10">
        <s v="Red"/>
        <s v="Blue"/>
        <s v="British Racing Green"/>
        <s v="Night Blue"/>
        <s v="Black"/>
        <s v="Canary Yellow"/>
        <s v="Green"/>
        <s v="Silver"/>
        <s v="Pink"/>
        <s v="Dark Purple"/>
      </sharedItems>
    </cacheField>
    <cacheField name="Stock.DateBought" numFmtId="164">
      <sharedItems containsSemiMixedTypes="0" containsNonDate="0" containsDate="1" containsString="0" minDate="2015-01-01T00:00:00" maxDate="2019-01-01T00:00:00"/>
    </cacheField>
    <cacheField name="MakeID" numFmtId="0">
      <sharedItems containsSemiMixedTypes="0" containsString="0" containsNumber="1" minValue="1" maxValue="24"/>
    </cacheField>
    <cacheField name="ModelName" numFmtId="0">
      <sharedItems/>
    </cacheField>
    <cacheField name="MakeName" numFmtId="0">
      <sharedItems count="23">
        <s v="Ferrari"/>
        <s v="Porsche"/>
        <s v="Aston Martin"/>
        <s v="Bentley"/>
        <s v="Mercedes"/>
        <s v="Alfa Romeo"/>
        <s v="Jaguar"/>
        <s v="Triumph"/>
        <s v="Lamborghini"/>
        <s v="Rolls Royce"/>
        <s v="Peugeot"/>
        <s v="Austin"/>
        <s v="Lagonda"/>
        <s v="Citroen"/>
        <s v="Delahaye"/>
        <s v="Bugatti"/>
        <s v="Reliant"/>
        <s v="McLaren"/>
        <s v="Delorean"/>
        <s v="BMW"/>
        <s v="Noble"/>
        <s v="Trabant"/>
        <s v="Morgan"/>
      </sharedItems>
    </cacheField>
    <cacheField name="MakeCountry" numFmtId="0">
      <sharedItems/>
    </cacheField>
    <cacheField name="Day" numFmtId="0">
      <sharedItems/>
    </cacheField>
    <cacheField name="ss" numFmtId="4">
      <sharedItems containsSemiMixedTypes="0" containsString="0" containsNumber="1" minValue="950" maxValue="395000"/>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351">
  <r>
    <n v="1"/>
    <n v="1"/>
    <n v="1"/>
    <s v="B1C3B95E-3005-4840-8CE3-A7BC5F9CFB3F"/>
    <n v="65000"/>
    <n v="2700"/>
    <n v="1"/>
    <x v="0"/>
    <n v="1"/>
    <s v="Magic Motors"/>
    <s v="27, Handsworth Road"/>
    <s v="Birmingham"/>
    <s v="GB        "/>
    <x v="0"/>
    <x v="0"/>
    <n v="2"/>
    <n v="52000"/>
    <n v="2175"/>
    <n v="1500"/>
    <n v="750"/>
    <n v="65000"/>
    <n v="56425"/>
    <n v="0.15197164377492259"/>
    <n v="8575"/>
    <x v="0"/>
    <d v="2015-01-01T00:00:00"/>
    <n v="1"/>
    <s v="Testarossa"/>
    <x v="0"/>
    <s v="ITA"/>
    <s v="Friday"/>
    <n v="65000"/>
  </r>
  <r>
    <n v="2"/>
    <n v="2"/>
    <n v="1"/>
    <s v="A2C3B95E-3005-4840-8CE3-A7BC5F9CFB5F"/>
    <n v="220000"/>
    <n v="60000"/>
    <n v="2"/>
    <x v="1"/>
    <n v="2"/>
    <s v="Snazzy Roadsters"/>
    <s v="102, Bleak Street"/>
    <s v="Birmingham"/>
    <s v="GB        "/>
    <x v="0"/>
    <x v="0"/>
    <n v="3"/>
    <n v="176000"/>
    <n v="5500"/>
    <n v="2200"/>
    <n v="1950"/>
    <n v="220000.1"/>
    <n v="185650"/>
    <n v="0.18502612442768651"/>
    <n v="34350.100000000013"/>
    <x v="1"/>
    <d v="2015-01-10T00:00:00"/>
    <n v="1"/>
    <s v="355"/>
    <x v="0"/>
    <s v="ITA"/>
    <s v="Sunday"/>
    <n v="220000.1"/>
  </r>
  <r>
    <n v="3"/>
    <n v="3"/>
    <n v="1"/>
    <s v="558620F5-B9E8-4FFF-8F73-A83FA9559C41"/>
    <n v="19500"/>
    <n v="2266.5966386554619"/>
    <n v="3"/>
    <x v="2"/>
    <n v="3"/>
    <s v="Birmingham Executive Prestige Vehicles"/>
    <s v="96, Aardvark Avenue"/>
    <s v="Birmingham"/>
    <s v="GB        "/>
    <x v="0"/>
    <x v="0"/>
    <n v="11"/>
    <n v="15600"/>
    <n v="660"/>
    <n v="0"/>
    <n v="150"/>
    <n v="19500"/>
    <n v="16410"/>
    <n v="0.1882998171846435"/>
    <n v="3090"/>
    <x v="2"/>
    <d v="2015-01-29T00:00:00"/>
    <n v="2"/>
    <s v="911"/>
    <x v="1"/>
    <s v="GER"/>
    <s v="Tuesday"/>
    <n v="19500"/>
  </r>
  <r>
    <n v="4"/>
    <n v="4"/>
    <n v="1"/>
    <s v="72443561-FAC4-4C25-B8FF-0C47361DDE2D"/>
    <n v="11500"/>
    <n v="2266.5966386554619"/>
    <n v="4"/>
    <x v="3"/>
    <n v="4"/>
    <s v="WunderKar"/>
    <s v="AlexanderPlatz 205"/>
    <s v="Berlin"/>
    <s v="DE        "/>
    <x v="1"/>
    <x v="0"/>
    <n v="12"/>
    <n v="9200"/>
    <n v="500"/>
    <n v="750"/>
    <n v="150"/>
    <n v="11500"/>
    <n v="10600"/>
    <n v="8.4905660377358583E-2"/>
    <n v="900"/>
    <x v="2"/>
    <d v="2015-02-14T00:00:00"/>
    <n v="2"/>
    <s v="924"/>
    <x v="1"/>
    <s v="GER"/>
    <s v="Monday"/>
    <n v="11500"/>
  </r>
  <r>
    <n v="5"/>
    <n v="5"/>
    <n v="1"/>
    <s v="2189D556-D1C4-4BC1-B0C8-4053319E8E9D"/>
    <n v="19950"/>
    <n v="2266.5966386554619"/>
    <n v="5"/>
    <x v="4"/>
    <n v="5"/>
    <s v="Casseroles Chromes"/>
    <s v="29, Rue Gigondas"/>
    <s v="Lyon"/>
    <s v="FR        "/>
    <x v="2"/>
    <x v="0"/>
    <n v="13"/>
    <n v="15960"/>
    <n v="1360"/>
    <n v="500"/>
    <n v="150"/>
    <n v="19900"/>
    <n v="17970"/>
    <n v="0.10740122426266011"/>
    <n v="1930"/>
    <x v="0"/>
    <d v="2015-01-01T00:00:00"/>
    <n v="2"/>
    <s v="944"/>
    <x v="1"/>
    <s v="GER"/>
    <s v="Friday"/>
    <n v="19900"/>
  </r>
  <r>
    <n v="6"/>
    <n v="6"/>
    <n v="1"/>
    <s v="C1459308-7EA5-4A2D-82BC-38079BB4049B"/>
    <n v="29500"/>
    <n v="1250"/>
    <n v="1"/>
    <x v="5"/>
    <n v="6"/>
    <s v="Magic Motors"/>
    <s v="27, Handsworth Road"/>
    <s v="Birmingham"/>
    <s v="GB        "/>
    <x v="0"/>
    <x v="0"/>
    <n v="22"/>
    <n v="23600"/>
    <n v="500"/>
    <n v="750"/>
    <n v="150"/>
    <n v="29500"/>
    <n v="25000"/>
    <n v="0.17999999999999991"/>
    <n v="4500"/>
    <x v="3"/>
    <d v="2015-03-05T00:00:00"/>
    <n v="4"/>
    <s v="DB4"/>
    <x v="2"/>
    <s v="GBR"/>
    <s v="Saturday"/>
    <n v="29500"/>
  </r>
  <r>
    <n v="7"/>
    <n v="7"/>
    <n v="1"/>
    <s v="E6E6270A-60B0-4817-AA57-17F26B2B8DAF"/>
    <n v="49500"/>
    <n v="2450"/>
    <n v="3"/>
    <x v="6"/>
    <n v="7"/>
    <s v="Birmingham Executive Prestige Vehicles"/>
    <s v="96, Aardvark Avenue"/>
    <s v="Birmingham"/>
    <s v="GB        "/>
    <x v="0"/>
    <x v="0"/>
    <n v="23"/>
    <n v="39600"/>
    <n v="2500"/>
    <n v="1500"/>
    <n v="550"/>
    <n v="49500.2"/>
    <n v="44150"/>
    <n v="0.1211823329558324"/>
    <n v="5350.1999999999971"/>
    <x v="4"/>
    <d v="2015-03-15T00:00:00"/>
    <n v="4"/>
    <s v="DB5"/>
    <x v="2"/>
    <s v="GBR"/>
    <s v="Tuesday"/>
    <n v="49500.2"/>
  </r>
  <r>
    <n v="8"/>
    <n v="8"/>
    <n v="1"/>
    <s v="CEDFB8D2-BD98-4A08-BC46-406D23940527"/>
    <n v="76000"/>
    <n v="5500"/>
    <n v="7"/>
    <x v="7"/>
    <n v="8"/>
    <s v="Eat My Exhaust Ltd"/>
    <s v="29, Kop Hill"/>
    <s v="Liverpool"/>
    <s v="GB        "/>
    <x v="0"/>
    <x v="0"/>
    <n v="24"/>
    <n v="60800"/>
    <n v="3250"/>
    <n v="750"/>
    <n v="750"/>
    <n v="76000.899999999994"/>
    <n v="65550"/>
    <n v="0.15943401983218911"/>
    <n v="10450.899999999991"/>
    <x v="5"/>
    <d v="2015-03-26T00:00:00"/>
    <n v="4"/>
    <s v="DB6"/>
    <x v="2"/>
    <s v="GBR"/>
    <s v="Monday"/>
    <n v="76000.899999999994"/>
  </r>
  <r>
    <n v="9"/>
    <n v="9"/>
    <n v="1"/>
    <s v="6081DBE7-9AD6-4C64-A676-61D919E64979"/>
    <n v="19600"/>
    <n v="2266.5966386554619"/>
    <n v="8"/>
    <x v="8"/>
    <n v="9"/>
    <s v="M. Pierre Dubois"/>
    <s v="14, Rue De La Hutte"/>
    <s v="Marseille"/>
    <s v="FR        "/>
    <x v="2"/>
    <x v="0"/>
    <n v="11"/>
    <n v="15680"/>
    <n v="890"/>
    <n v="500"/>
    <n v="150"/>
    <n v="19600"/>
    <n v="17220"/>
    <n v="0.13821138211382111"/>
    <n v="2380"/>
    <x v="1"/>
    <d v="2015-04-04T00:00:00"/>
    <n v="2"/>
    <s v="911"/>
    <x v="1"/>
    <s v="GER"/>
    <s v="Monday"/>
    <n v="19600"/>
  </r>
  <r>
    <n v="10"/>
    <n v="10"/>
    <n v="1"/>
    <s v="D63C8CC9-DB19-4B9C-9C8E-6C6370812041"/>
    <n v="36500"/>
    <n v="2500"/>
    <n v="9"/>
    <x v="9"/>
    <n v="10"/>
    <s v="Sondra Horowitz"/>
    <s v="10040 Great Western Road"/>
    <s v="Los Angeles"/>
    <s v="US        "/>
    <x v="3"/>
    <x v="1"/>
    <n v="23"/>
    <n v="29200"/>
    <n v="1950"/>
    <n v="500"/>
    <n v="550"/>
    <n v="36500"/>
    <n v="32200"/>
    <n v="0.13354037267080751"/>
    <n v="4300"/>
    <x v="1"/>
    <d v="2015-04-02T00:00:00"/>
    <n v="4"/>
    <s v="DB5"/>
    <x v="2"/>
    <s v="GBR"/>
    <s v="Saturday"/>
    <n v="36500"/>
  </r>
  <r>
    <n v="11"/>
    <n v="11"/>
    <n v="1"/>
    <s v="F3A2712D-20CA-495D-9F6A-8A4CA195248D"/>
    <n v="8500"/>
    <n v="50"/>
    <n v="10"/>
    <x v="10"/>
    <n v="11"/>
    <s v="Wonderland Wheels"/>
    <s v="57, Grosvenor Estate Avenue"/>
    <s v="London"/>
    <s v="GB        "/>
    <x v="0"/>
    <x v="0"/>
    <n v="13"/>
    <n v="6800"/>
    <n v="250"/>
    <n v="225"/>
    <n v="150"/>
    <n v="89000"/>
    <n v="7425"/>
    <n v="10.98653198653199"/>
    <n v="81575"/>
    <x v="1"/>
    <d v="2015-04-15T00:00:00"/>
    <n v="2"/>
    <s v="944"/>
    <x v="1"/>
    <s v="GER"/>
    <s v="Thursday"/>
    <n v="89000"/>
  </r>
  <r>
    <n v="12"/>
    <n v="11"/>
    <n v="2"/>
    <s v="4C57F13A-E21B-4AAC-9E9D-A219D4C691C6"/>
    <n v="80500"/>
    <n v="500"/>
    <n v="10"/>
    <x v="10"/>
    <n v="11"/>
    <s v="Wonderland Wheels"/>
    <s v="57, Grosvenor Estate Avenue"/>
    <s v="London"/>
    <s v="GB        "/>
    <x v="0"/>
    <x v="0"/>
    <n v="32"/>
    <n v="64400"/>
    <n v="500"/>
    <n v="750"/>
    <n v="750"/>
    <n v="89000"/>
    <n v="66400"/>
    <n v="0.34036144578313249"/>
    <n v="22600"/>
    <x v="2"/>
    <d v="2015-05-01T00:00:00"/>
    <n v="5"/>
    <s v="Flying Spur"/>
    <x v="3"/>
    <s v="GBR"/>
    <s v="Thursday"/>
    <n v="89000"/>
  </r>
  <r>
    <n v="13"/>
    <n v="12"/>
    <n v="1"/>
    <s v="98C1E31A-4258-4F78-95D4-2365167E6F3F"/>
    <n v="169500"/>
    <n v="2266.5966386554619"/>
    <n v="11"/>
    <x v="11"/>
    <n v="12"/>
    <s v="London Executive Prestige Vehicles"/>
    <s v="199, Park Lane"/>
    <s v="London"/>
    <s v="GB        "/>
    <x v="0"/>
    <x v="0"/>
    <n v="3"/>
    <n v="135600"/>
    <n v="5500"/>
    <n v="2200"/>
    <n v="1950"/>
    <n v="169500"/>
    <n v="145250"/>
    <n v="0.16695352839931149"/>
    <n v="24250"/>
    <x v="4"/>
    <d v="2015-05-15T00:00:00"/>
    <n v="1"/>
    <s v="355"/>
    <x v="0"/>
    <s v="ITA"/>
    <s v="Sunday"/>
    <n v="169500"/>
  </r>
  <r>
    <n v="14"/>
    <n v="13"/>
    <n v="1"/>
    <s v="951195C4-7B69-418B-9AC2-61CCB7FE7C09"/>
    <n v="8950"/>
    <n v="25"/>
    <n v="8"/>
    <x v="12"/>
    <n v="13"/>
    <s v="M. Pierre Dubois"/>
    <s v="14, Rue De La Hutte"/>
    <s v="Marseille"/>
    <s v="FR        "/>
    <x v="2"/>
    <x v="0"/>
    <n v="13"/>
    <n v="7160"/>
    <n v="500"/>
    <n v="750"/>
    <n v="150"/>
    <n v="8950"/>
    <n v="8560"/>
    <n v="4.5560747663551338E-2"/>
    <n v="390"/>
    <x v="6"/>
    <d v="2015-05-26T00:00:00"/>
    <n v="2"/>
    <s v="944"/>
    <x v="1"/>
    <s v="GER"/>
    <s v="Wednesday"/>
    <n v="8950"/>
  </r>
  <r>
    <n v="15"/>
    <n v="14"/>
    <n v="1"/>
    <s v="91CF8133-EF19-4C92-BEFB-6A24FD85EF3A"/>
    <n v="195000"/>
    <n v="2266.5966386554619"/>
    <n v="12"/>
    <x v="13"/>
    <n v="14"/>
    <s v="Glittering Prize Cars Ltd"/>
    <s v="46, Golders Green Road"/>
    <s v="London"/>
    <s v="GB        "/>
    <x v="0"/>
    <x v="0"/>
    <n v="2"/>
    <n v="156000"/>
    <n v="6000"/>
    <n v="1500"/>
    <n v="1950"/>
    <n v="195000"/>
    <n v="165450"/>
    <n v="0.1786038077969174"/>
    <n v="29550"/>
    <x v="6"/>
    <d v="2015-06-03T00:00:00"/>
    <n v="1"/>
    <s v="Testarossa"/>
    <x v="0"/>
    <s v="ITA"/>
    <s v="Thursday"/>
    <n v="195000"/>
  </r>
  <r>
    <n v="16"/>
    <n v="15"/>
    <n v="1"/>
    <s v="BCCB9C13-AEDA-4467-A014-48F0C7A0D6A4"/>
    <n v="22950"/>
    <n v="950"/>
    <n v="13"/>
    <x v="14"/>
    <n v="15"/>
    <s v="La Bagnole de Luxe"/>
    <s v="890 Place de la Concorde"/>
    <s v="Paris"/>
    <s v="FR        "/>
    <x v="2"/>
    <x v="0"/>
    <n v="45"/>
    <n v="18360"/>
    <n v="550"/>
    <n v="500"/>
    <n v="150"/>
    <n v="22950"/>
    <n v="19560"/>
    <n v="0.17331288343558279"/>
    <n v="3390"/>
    <x v="0"/>
    <d v="2015-06-05T00:00:00"/>
    <n v="8"/>
    <s v="280SL"/>
    <x v="4"/>
    <s v="GER"/>
    <s v="Thursday"/>
    <n v="22950"/>
  </r>
  <r>
    <n v="17"/>
    <n v="16"/>
    <n v="1"/>
    <s v="94FF5451-471C-4F17-BE27-BA55D3ECF5DC"/>
    <n v="8695"/>
    <n v="95"/>
    <n v="14"/>
    <x v="15"/>
    <n v="16"/>
    <s v="Convertible Dreams"/>
    <s v="31, Archbishop Ave"/>
    <s v="London"/>
    <s v="GB        "/>
    <x v="0"/>
    <x v="0"/>
    <n v="51"/>
    <n v="6956"/>
    <n v="400"/>
    <n v="750"/>
    <n v="150"/>
    <n v="8695"/>
    <n v="8256"/>
    <n v="5.3173449612403001E-2"/>
    <n v="439"/>
    <x v="0"/>
    <d v="2015-07-10T00:00:00"/>
    <n v="9"/>
    <s v="Giulia"/>
    <x v="5"/>
    <s v="ITA"/>
    <s v="Sunday"/>
    <n v="8695"/>
  </r>
  <r>
    <n v="18"/>
    <n v="17"/>
    <n v="1"/>
    <s v="325F4D73-D44A-44BD-B109-AD25D924D38F"/>
    <n v="22990"/>
    <n v="2266.5966386554619"/>
    <n v="15"/>
    <x v="16"/>
    <n v="17"/>
    <s v="Alexei Tolstoi"/>
    <s v="83, Abbey Road"/>
    <s v="London"/>
    <s v="GB        "/>
    <x v="0"/>
    <x v="0"/>
    <n v="75"/>
    <n v="18392"/>
    <n v="390"/>
    <n v="150"/>
    <n v="150"/>
    <n v="22990"/>
    <n v="19082"/>
    <n v="0.20480033539461259"/>
    <n v="3908"/>
    <x v="3"/>
    <d v="2015-07-10T00:00:00"/>
    <n v="16"/>
    <s v="XK150"/>
    <x v="6"/>
    <s v="GBR"/>
    <s v="Wednesday"/>
    <n v="22990"/>
  </r>
  <r>
    <n v="19"/>
    <n v="18"/>
    <n v="1"/>
    <s v="FDCDF3F0-F0AD-4E7F-8793-8B146700D035"/>
    <n v="19500"/>
    <n v="1500"/>
    <n v="16"/>
    <x v="17"/>
    <n v="18"/>
    <s v="SuperSport S.A.R.L."/>
    <s v="210 Place de la Republique"/>
    <s v="Paris"/>
    <s v="FR        "/>
    <x v="2"/>
    <x v="0"/>
    <n v="76"/>
    <n v="15600"/>
    <n v="290"/>
    <n v="750"/>
    <n v="150"/>
    <n v="75500"/>
    <n v="16790"/>
    <n v="3.4967242406194159"/>
    <n v="58710"/>
    <x v="7"/>
    <d v="2015-07-25T00:00:00"/>
    <n v="16"/>
    <s v="XJS"/>
    <x v="6"/>
    <s v="GBR"/>
    <s v="Saturday"/>
    <n v="75500"/>
  </r>
  <r>
    <n v="20"/>
    <n v="18"/>
    <n v="2"/>
    <s v="34CEE6C8-985B-4005-AB2F-AD3235C6A16D"/>
    <n v="56000"/>
    <n v="2266.5966386554619"/>
    <n v="16"/>
    <x v="17"/>
    <n v="18"/>
    <s v="SuperSport S.A.R.L."/>
    <s v="210 Place de la Republique"/>
    <s v="Paris"/>
    <s v="FR        "/>
    <x v="2"/>
    <x v="0"/>
    <n v="24"/>
    <n v="44800"/>
    <n v="1785"/>
    <n v="500"/>
    <n v="550"/>
    <n v="75500"/>
    <n v="47635"/>
    <n v="0.58496903537315004"/>
    <n v="27865"/>
    <x v="5"/>
    <d v="2015-07-25T00:00:00"/>
    <n v="4"/>
    <s v="DB6"/>
    <x v="2"/>
    <s v="GBR"/>
    <s v="Saturday"/>
    <n v="75500"/>
  </r>
  <r>
    <n v="21"/>
    <n v="19"/>
    <n v="1"/>
    <s v="BEECAE2C-0A38-473D-893F-7C8917A779C2"/>
    <n v="5500"/>
    <n v="500"/>
    <n v="17"/>
    <x v="18"/>
    <n v="19"/>
    <s v="Theo Kowalski"/>
    <s v="1000 East 51st Street"/>
    <s v="New York"/>
    <s v="US        "/>
    <x v="3"/>
    <x v="1"/>
    <n v="86"/>
    <n v="4400"/>
    <n v="500"/>
    <n v="750"/>
    <n v="150"/>
    <n v="5500"/>
    <n v="5800"/>
    <n v="-5.1724137931034482E-2"/>
    <n v="-300"/>
    <x v="3"/>
    <d v="2015-08-01T00:00:00"/>
    <n v="21"/>
    <s v="TR4"/>
    <x v="7"/>
    <s v="GBR"/>
    <s v="Sunday"/>
    <n v="5500"/>
  </r>
  <r>
    <n v="22"/>
    <n v="20"/>
    <n v="1"/>
    <s v="5672C4AF-78E1-4BA4-B1D1-19383DCBE43C"/>
    <n v="12650"/>
    <n v="2266.5966386554619"/>
    <n v="18"/>
    <x v="19"/>
    <n v="20"/>
    <s v="Peter McLuckie"/>
    <s v="73, Entwhistle Street"/>
    <s v="London"/>
    <s v="GB        "/>
    <x v="0"/>
    <x v="0"/>
    <n v="87"/>
    <n v="10120"/>
    <n v="320"/>
    <n v="750"/>
    <n v="150"/>
    <n v="12650"/>
    <n v="11340"/>
    <n v="0.11552028218694881"/>
    <n v="1310"/>
    <x v="6"/>
    <d v="2015-08-24T00:00:00"/>
    <n v="21"/>
    <s v="TR5"/>
    <x v="7"/>
    <s v="GBR"/>
    <s v="Saturday"/>
    <n v="12650"/>
  </r>
  <r>
    <n v="23"/>
    <n v="21"/>
    <n v="1"/>
    <s v="F95052DB-3E09-4070-ADA4-5114CCAD96C0"/>
    <n v="8950"/>
    <n v="950"/>
    <n v="19"/>
    <x v="20"/>
    <n v="21"/>
    <s v="Posh Vehicles Ltd"/>
    <s v="82, Millar Close"/>
    <s v="Manchester"/>
    <s v="GB        "/>
    <x v="0"/>
    <x v="0"/>
    <n v="12"/>
    <n v="7160"/>
    <n v="360"/>
    <n v="750"/>
    <n v="150"/>
    <n v="8950"/>
    <n v="8420"/>
    <n v="6.2945368171021476E-2"/>
    <n v="530"/>
    <x v="4"/>
    <d v="2015-09-28T00:00:00"/>
    <n v="2"/>
    <s v="924"/>
    <x v="1"/>
    <s v="GER"/>
    <s v="Tuesday"/>
    <n v="8950"/>
  </r>
  <r>
    <n v="24"/>
    <n v="22"/>
    <n v="1"/>
    <s v="646C802F-C868-40F0-AF81-1BF387AFB82B"/>
    <n v="15600"/>
    <n v="2266.5966386554619"/>
    <n v="18"/>
    <x v="21"/>
    <n v="22"/>
    <s v="Peter McLuckie"/>
    <s v="73, Entwhistle Street"/>
    <s v="London"/>
    <s v="GB        "/>
    <x v="0"/>
    <x v="0"/>
    <n v="74"/>
    <n v="12480"/>
    <n v="1100"/>
    <n v="500"/>
    <n v="150"/>
    <n v="15600"/>
    <n v="14230"/>
    <n v="9.6275474349964973E-2"/>
    <n v="1370"/>
    <x v="0"/>
    <d v="2015-10-01T00:00:00"/>
    <n v="16"/>
    <s v="XK120"/>
    <x v="6"/>
    <s v="GBR"/>
    <s v="Tuesday"/>
    <n v="15600"/>
  </r>
  <r>
    <n v="25"/>
    <n v="23"/>
    <n v="1"/>
    <s v="1BB4B941-79F4-4E98-9E13-46875CA7EB67"/>
    <n v="22600"/>
    <n v="600"/>
    <n v="15"/>
    <x v="22"/>
    <n v="23"/>
    <s v="Alexei Tolstoi"/>
    <s v="83, Abbey Road"/>
    <s v="London"/>
    <s v="GB        "/>
    <x v="0"/>
    <x v="0"/>
    <n v="76"/>
    <n v="18080"/>
    <n v="660"/>
    <n v="750"/>
    <n v="150"/>
    <n v="22600"/>
    <n v="19640"/>
    <n v="0.15071283095723009"/>
    <n v="2960"/>
    <x v="0"/>
    <d v="2015-10-29T00:00:00"/>
    <n v="16"/>
    <s v="XJS"/>
    <x v="6"/>
    <s v="GBR"/>
    <s v="Friday"/>
    <n v="22600"/>
  </r>
  <r>
    <n v="26"/>
    <n v="24"/>
    <n v="1"/>
    <s v="18E980AB-452D-42EF-8728-12822AD20C60"/>
    <n v="123590"/>
    <n v="2450"/>
    <n v="17"/>
    <x v="22"/>
    <n v="24"/>
    <s v="Theo Kowalski"/>
    <s v="1000 East 51st Street"/>
    <s v="New York"/>
    <s v="US        "/>
    <x v="3"/>
    <x v="1"/>
    <n v="26"/>
    <n v="98872"/>
    <n v="2175"/>
    <n v="2200"/>
    <n v="750"/>
    <n v="123590"/>
    <n v="103997"/>
    <n v="0.18839966537496269"/>
    <n v="19593"/>
    <x v="4"/>
    <d v="2015-10-29T00:00:00"/>
    <n v="4"/>
    <s v="Virage"/>
    <x v="2"/>
    <s v="GBR"/>
    <s v="Friday"/>
    <n v="123590"/>
  </r>
  <r>
    <n v="27"/>
    <n v="25"/>
    <n v="1"/>
    <s v="F2DE934E-62C3-45F6-AFA8-2FFA963F5360"/>
    <n v="22950"/>
    <n v="50"/>
    <n v="14"/>
    <x v="23"/>
    <n v="25"/>
    <s v="Convertible Dreams"/>
    <s v="31, Archbishop Ave"/>
    <s v="London"/>
    <s v="GB        "/>
    <x v="0"/>
    <x v="0"/>
    <n v="11"/>
    <n v="18360"/>
    <n v="500"/>
    <n v="750"/>
    <n v="150"/>
    <n v="22950"/>
    <n v="19760"/>
    <n v="0.16143724696356279"/>
    <n v="3190"/>
    <x v="4"/>
    <d v="2015-11-01T00:00:00"/>
    <n v="2"/>
    <s v="911"/>
    <x v="1"/>
    <s v="GER"/>
    <s v="Tuesday"/>
    <n v="22950"/>
  </r>
  <r>
    <n v="28"/>
    <n v="26"/>
    <n v="1"/>
    <s v="0CC75388-9A95-4F14-8D9A-8373E3B44D8A"/>
    <n v="69500"/>
    <n v="2266.5966386554619"/>
    <n v="15"/>
    <x v="24"/>
    <n v="26"/>
    <s v="Alexei Tolstoi"/>
    <s v="83, Abbey Road"/>
    <s v="London"/>
    <s v="GB        "/>
    <x v="0"/>
    <x v="0"/>
    <n v="24"/>
    <n v="55600"/>
    <n v="1490"/>
    <n v="1500"/>
    <n v="750"/>
    <n v="69500"/>
    <n v="59340"/>
    <n v="0.17121671722278389"/>
    <n v="10160"/>
    <x v="7"/>
    <d v="2015-11-11T00:00:00"/>
    <n v="4"/>
    <s v="DB6"/>
    <x v="2"/>
    <s v="GBR"/>
    <s v="Tuesday"/>
    <n v="69500"/>
  </r>
  <r>
    <n v="29"/>
    <n v="27"/>
    <n v="1"/>
    <s v="5CCF4F6B-43B3-4C7F-B674-6CAFD056E52A"/>
    <n v="12500"/>
    <n v="2266.5966386554619"/>
    <n v="6"/>
    <x v="25"/>
    <n v="27"/>
    <s v="Le Luxe en Motion"/>
    <s v="Avenue des Indes, 26"/>
    <s v="Geneva"/>
    <s v="CH        "/>
    <x v="4"/>
    <x v="0"/>
    <n v="86"/>
    <n v="10000"/>
    <n v="500"/>
    <n v="225"/>
    <n v="150"/>
    <n v="12500"/>
    <n v="10875"/>
    <n v="0.1494252873563218"/>
    <n v="1625"/>
    <x v="7"/>
    <d v="2015-12-22T00:00:00"/>
    <n v="21"/>
    <s v="TR4"/>
    <x v="7"/>
    <s v="GBR"/>
    <s v="Friday"/>
    <n v="12500"/>
  </r>
  <r>
    <n v="30"/>
    <n v="28"/>
    <n v="1"/>
    <s v="E264504D-3451-4670-AAB8-E4C66F2387B0"/>
    <n v="12500"/>
    <n v="1500"/>
    <n v="7"/>
    <x v="25"/>
    <n v="28"/>
    <s v="Eat My Exhaust Ltd"/>
    <s v="29, Kop Hill"/>
    <s v="Liverpool"/>
    <s v="GB        "/>
    <x v="0"/>
    <x v="0"/>
    <n v="13"/>
    <n v="10000"/>
    <n v="500"/>
    <n v="750"/>
    <n v="150"/>
    <n v="12500"/>
    <n v="11400"/>
    <n v="9.6491228070175517E-2"/>
    <n v="1100"/>
    <x v="4"/>
    <d v="2015-12-23T00:00:00"/>
    <n v="2"/>
    <s v="944"/>
    <x v="1"/>
    <s v="GER"/>
    <s v="Friday"/>
    <n v="12500"/>
  </r>
  <r>
    <n v="31"/>
    <n v="29"/>
    <n v="1"/>
    <s v="A926BB6C-FC26-4EBB-997E-2DF7EDC48E92"/>
    <n v="159500"/>
    <n v="2266.5966386554619"/>
    <n v="9"/>
    <x v="25"/>
    <n v="29"/>
    <s v="Sondra Horowitz"/>
    <s v="10040 Great Western Road"/>
    <s v="Los Angeles"/>
    <s v="US        "/>
    <x v="3"/>
    <x v="1"/>
    <n v="3"/>
    <n v="127600"/>
    <n v="2000"/>
    <n v="3150"/>
    <n v="1950"/>
    <n v="159500"/>
    <n v="134700"/>
    <n v="0.18411284335560499"/>
    <n v="24800"/>
    <x v="7"/>
    <d v="2015-12-24T00:00:00"/>
    <n v="1"/>
    <s v="355"/>
    <x v="0"/>
    <s v="ITA"/>
    <s v="Friday"/>
    <n v="159500"/>
  </r>
  <r>
    <n v="32"/>
    <n v="30"/>
    <n v="1"/>
    <s v="202B3C90-188F-413E-A44A-B99F16F03464"/>
    <n v="165000"/>
    <n v="5000"/>
    <n v="10"/>
    <x v="26"/>
    <n v="30"/>
    <s v="Wonderland Wheels"/>
    <s v="57, Grosvenor Estate Avenue"/>
    <s v="London"/>
    <s v="GB        "/>
    <x v="0"/>
    <x v="0"/>
    <n v="2"/>
    <n v="132000"/>
    <n v="3950"/>
    <n v="2200"/>
    <n v="1950"/>
    <n v="165000"/>
    <n v="140100"/>
    <n v="0.17773019271948609"/>
    <n v="24900"/>
    <x v="3"/>
    <d v="2015-12-25T00:00:00"/>
    <n v="1"/>
    <s v="Testarossa"/>
    <x v="0"/>
    <s v="ITA"/>
    <s v="Friday"/>
    <n v="165000"/>
  </r>
  <r>
    <n v="33"/>
    <n v="31"/>
    <n v="1"/>
    <s v="486C65E8-5CB9-4A33-9507-E2E5E3CB91CC"/>
    <n v="2550"/>
    <n v="50"/>
    <n v="8"/>
    <x v="27"/>
    <n v="31"/>
    <s v="M. Pierre Dubois"/>
    <s v="14, Rue De La Hutte"/>
    <s v="Marseille"/>
    <s v="FR        "/>
    <x v="2"/>
    <x v="0"/>
    <n v="51"/>
    <n v="2040"/>
    <n v="500"/>
    <n v="750"/>
    <n v="150"/>
    <n v="2550"/>
    <n v="3440"/>
    <n v="-0.25872093023255821"/>
    <n v="-890"/>
    <x v="2"/>
    <d v="2016-01-02T00:00:00"/>
    <n v="9"/>
    <s v="Giulia"/>
    <x v="5"/>
    <s v="ITA"/>
    <s v="Thursday"/>
    <n v="2550"/>
  </r>
  <r>
    <n v="34"/>
    <n v="32"/>
    <n v="1"/>
    <s v="3F3BED8D-1203-4D3E-8AC0-3ACAC73BDE17"/>
    <n v="29500"/>
    <n v="2266.5966386554619"/>
    <n v="19"/>
    <x v="27"/>
    <n v="32"/>
    <s v="Posh Vehicles Ltd"/>
    <s v="82, Millar Close"/>
    <s v="Manchester"/>
    <s v="GB        "/>
    <x v="0"/>
    <x v="0"/>
    <n v="11"/>
    <n v="23600"/>
    <n v="1360"/>
    <n v="500"/>
    <n v="150"/>
    <n v="29500"/>
    <n v="25610"/>
    <n v="0.1518937914877001"/>
    <n v="3890"/>
    <x v="4"/>
    <d v="2016-01-02T00:00:00"/>
    <n v="2"/>
    <s v="911"/>
    <x v="1"/>
    <s v="GER"/>
    <s v="Thursday"/>
    <n v="29500"/>
  </r>
  <r>
    <n v="35"/>
    <n v="33"/>
    <n v="1"/>
    <s v="281946B6-D061-455A-801B-A0EDF3E37530"/>
    <n v="12650"/>
    <n v="500"/>
    <n v="20"/>
    <x v="28"/>
    <n v="33"/>
    <s v="Jason B. Wight"/>
    <s v="5300 Star Boulevard"/>
    <s v="Washington"/>
    <s v="US        "/>
    <x v="3"/>
    <x v="1"/>
    <n v="13"/>
    <n v="10120"/>
    <n v="500"/>
    <n v="750"/>
    <n v="150"/>
    <n v="12650"/>
    <n v="11520"/>
    <n v="9.8090277777777679E-2"/>
    <n v="1130"/>
    <x v="3"/>
    <d v="2016-01-02T00:00:00"/>
    <n v="2"/>
    <s v="944"/>
    <x v="1"/>
    <s v="GER"/>
    <s v="Saturday"/>
    <n v="12650"/>
  </r>
  <r>
    <n v="36"/>
    <n v="34"/>
    <n v="1"/>
    <s v="98A92DA3-2B99-4625-998B-2BB2FBB8F167"/>
    <n v="56950"/>
    <n v="2266.5966386554619"/>
    <n v="21"/>
    <x v="29"/>
    <n v="34"/>
    <s v="Silver HubCaps"/>
    <s v="54, Didsbury Lane"/>
    <s v="Manchester"/>
    <s v="GB        "/>
    <x v="0"/>
    <x v="0"/>
    <n v="31"/>
    <n v="45560"/>
    <n v="2000"/>
    <n v="750"/>
    <n v="550"/>
    <n v="56950"/>
    <n v="48860"/>
    <n v="0.16557511256651661"/>
    <n v="8090"/>
    <x v="8"/>
    <d v="2016-01-10T00:00:00"/>
    <n v="5"/>
    <s v="Continental"/>
    <x v="3"/>
    <s v="GBR"/>
    <s v="Friday"/>
    <n v="56950"/>
  </r>
  <r>
    <n v="37"/>
    <n v="35"/>
    <n v="1"/>
    <s v="A9D335E7-2389-4DE1-9484-DC4EC6BA81D4"/>
    <n v="56000"/>
    <n v="2266.5966386554619"/>
    <n v="22"/>
    <x v="30"/>
    <n v="35"/>
    <s v="Stan Collywobble"/>
    <s v="65, Townsend Road"/>
    <s v="Manchester"/>
    <s v="GB        "/>
    <x v="0"/>
    <x v="0"/>
    <n v="24"/>
    <n v="44800"/>
    <n v="1360"/>
    <n v="500"/>
    <n v="550"/>
    <n v="56000"/>
    <n v="47210"/>
    <n v="0.18618936665960589"/>
    <n v="8790"/>
    <x v="2"/>
    <d v="2016-01-31T00:00:00"/>
    <n v="4"/>
    <s v="DB6"/>
    <x v="2"/>
    <s v="GBR"/>
    <s v="Monday"/>
    <n v="56000"/>
  </r>
  <r>
    <n v="38"/>
    <n v="36"/>
    <n v="1"/>
    <s v="53C088BA-6E14-4758-826A-56FC57D3EEDA"/>
    <n v="65890"/>
    <n v="750"/>
    <n v="23"/>
    <x v="31"/>
    <n v="36"/>
    <s v="Glitz"/>
    <s v="FriedrichStrasse 579"/>
    <s v="Stuttgart"/>
    <s v="DE        "/>
    <x v="1"/>
    <x v="0"/>
    <n v="32"/>
    <n v="52712"/>
    <n v="1490"/>
    <n v="1500"/>
    <n v="750"/>
    <n v="71890"/>
    <n v="56452"/>
    <n v="0.27347126762559348"/>
    <n v="15438"/>
    <x v="5"/>
    <d v="2016-02-01T00:00:00"/>
    <n v="5"/>
    <s v="Flying Spur"/>
    <x v="3"/>
    <s v="GBR"/>
    <s v="Wednesday"/>
    <n v="71890"/>
  </r>
  <r>
    <n v="39"/>
    <n v="36"/>
    <n v="2"/>
    <s v="6C76FDEC-683F-45E1-B027-20ACFD2F501C"/>
    <n v="6000"/>
    <n v="2266.5966386554619"/>
    <n v="23"/>
    <x v="31"/>
    <n v="36"/>
    <s v="Glitz"/>
    <s v="FriedrichStrasse 579"/>
    <s v="Stuttgart"/>
    <s v="DE        "/>
    <x v="1"/>
    <x v="0"/>
    <n v="51"/>
    <n v="4800"/>
    <n v="500"/>
    <n v="750"/>
    <n v="150"/>
    <n v="71890"/>
    <n v="6200"/>
    <n v="10.595161290322579"/>
    <n v="65690"/>
    <x v="2"/>
    <d v="2016-02-10T00:00:00"/>
    <n v="9"/>
    <s v="Giulia"/>
    <x v="5"/>
    <s v="ITA"/>
    <s v="Wednesday"/>
    <n v="71890"/>
  </r>
  <r>
    <n v="40"/>
    <n v="37"/>
    <n v="1"/>
    <s v="A7A80CA3-06D6-40AF-A558-09146A650340"/>
    <n v="39500"/>
    <n v="2450"/>
    <n v="16"/>
    <x v="32"/>
    <n v="37"/>
    <s v="SuperSport S.A.R.L."/>
    <s v="210 Place de la Republique"/>
    <s v="Paris"/>
    <s v="FR        "/>
    <x v="2"/>
    <x v="0"/>
    <n v="12"/>
    <n v="31600"/>
    <n v="500"/>
    <n v="1500"/>
    <n v="550"/>
    <n v="39500"/>
    <n v="34150"/>
    <n v="0.15666178623718879"/>
    <n v="5350"/>
    <x v="6"/>
    <d v="2016-03-15T00:00:00"/>
    <n v="2"/>
    <s v="924"/>
    <x v="1"/>
    <s v="GER"/>
    <s v="Tuesday"/>
    <n v="39500"/>
  </r>
  <r>
    <n v="41"/>
    <n v="38"/>
    <n v="1"/>
    <s v="A2112C27-FE1F-48C5-A3BE-A019EE17DDD6"/>
    <n v="3650"/>
    <n v="2266.5966386554619"/>
    <n v="1"/>
    <x v="33"/>
    <n v="38"/>
    <s v="Magic Motors"/>
    <s v="27, Handsworth Road"/>
    <s v="Birmingham"/>
    <s v="GB        "/>
    <x v="0"/>
    <x v="0"/>
    <n v="17"/>
    <n v="2920"/>
    <n v="500"/>
    <n v="750"/>
    <n v="150"/>
    <n v="3650"/>
    <n v="4320"/>
    <n v="-0.15509259259259259"/>
    <n v="-670"/>
    <x v="6"/>
    <d v="2016-03-19T00:00:00"/>
    <n v="3"/>
    <s v="Countach"/>
    <x v="8"/>
    <s v="ITA"/>
    <s v="Sunday"/>
    <n v="3650"/>
  </r>
  <r>
    <n v="42"/>
    <n v="39"/>
    <n v="1"/>
    <s v="88AFBF67-13A6-4BC5-AE50-8C64F0F25453"/>
    <n v="220500"/>
    <n v="2266.5966386554619"/>
    <n v="24"/>
    <x v="34"/>
    <n v="39"/>
    <s v="Matterhorn Motors"/>
    <s v="1, Rue de la Colline"/>
    <s v="Lausanne"/>
    <s v="CH        "/>
    <x v="4"/>
    <x v="0"/>
    <n v="18"/>
    <n v="176400"/>
    <n v="5500"/>
    <n v="3150"/>
    <n v="1950"/>
    <n v="220500"/>
    <n v="187000"/>
    <n v="0.17914438502673799"/>
    <n v="33500"/>
    <x v="1"/>
    <d v="2016-04-17T00:00:00"/>
    <n v="3"/>
    <s v="Diabolo"/>
    <x v="8"/>
    <s v="ITA"/>
    <s v="Sunday"/>
    <n v="220500"/>
  </r>
  <r>
    <n v="43"/>
    <n v="40"/>
    <n v="1"/>
    <s v="11790E1E-859C-4E05-B6B3-6D72DDCC8DAE"/>
    <n v="102950"/>
    <n v="2450"/>
    <n v="25"/>
    <x v="35"/>
    <n v="40"/>
    <s v="King Leer Cars"/>
    <s v="87, Lindisfarne Road"/>
    <s v="Newcastle"/>
    <s v="GB        "/>
    <x v="0"/>
    <x v="0"/>
    <n v="6"/>
    <n v="82360"/>
    <n v="2175"/>
    <n v="2200"/>
    <n v="750"/>
    <n v="102950"/>
    <n v="87485"/>
    <n v="0.1767731611133336"/>
    <n v="15465"/>
    <x v="4"/>
    <d v="2016-04-26T00:00:00"/>
    <n v="1"/>
    <s v="Mondial"/>
    <x v="0"/>
    <s v="ITA"/>
    <s v="Tuesday"/>
    <n v="102950"/>
  </r>
  <r>
    <n v="44"/>
    <n v="41"/>
    <n v="1"/>
    <s v="B165CAEF-FF77-4E63-98C1-59D97F97E7C9"/>
    <n v="17500"/>
    <n v="2266.5966386554619"/>
    <n v="20"/>
    <x v="36"/>
    <n v="41"/>
    <s v="Jason B. Wight"/>
    <s v="5300 Star Boulevard"/>
    <s v="Washington"/>
    <s v="US        "/>
    <x v="3"/>
    <x v="1"/>
    <n v="11"/>
    <n v="14000"/>
    <n v="2000"/>
    <n v="500"/>
    <n v="150"/>
    <n v="17500"/>
    <n v="16650"/>
    <n v="5.1051051051051122E-2"/>
    <n v="850"/>
    <x v="2"/>
    <d v="2016-04-29T00:00:00"/>
    <n v="2"/>
    <s v="911"/>
    <x v="1"/>
    <s v="GER"/>
    <s v="Saturday"/>
    <n v="17500"/>
  </r>
  <r>
    <n v="45"/>
    <n v="42"/>
    <n v="1"/>
    <s v="CE0A56A6-8218-4F4C-A0E2-63F3DC9E4AE6"/>
    <n v="8800"/>
    <n v="500"/>
    <n v="21"/>
    <x v="36"/>
    <n v="42"/>
    <s v="Silver HubCaps"/>
    <s v="54, Didsbury Lane"/>
    <s v="Manchester"/>
    <s v="GB        "/>
    <x v="0"/>
    <x v="0"/>
    <n v="13"/>
    <n v="7040"/>
    <n v="140"/>
    <n v="750"/>
    <n v="150"/>
    <n v="8800"/>
    <n v="8080"/>
    <n v="8.9108910891089188E-2"/>
    <n v="720"/>
    <x v="1"/>
    <d v="2015-07-25T00:00:00"/>
    <n v="2"/>
    <s v="944"/>
    <x v="1"/>
    <s v="GER"/>
    <s v="Saturday"/>
    <n v="8800"/>
  </r>
  <r>
    <n v="46"/>
    <n v="43"/>
    <n v="1"/>
    <s v="23E7F9FA-67D4-47C1-8D66-F1CFBC33540F"/>
    <n v="99500"/>
    <n v="500"/>
    <n v="23"/>
    <x v="36"/>
    <n v="43"/>
    <s v="Glitz"/>
    <s v="FriedrichStrasse 579"/>
    <s v="Stuttgart"/>
    <s v="DE        "/>
    <x v="1"/>
    <x v="0"/>
    <n v="9"/>
    <n v="79600"/>
    <n v="500"/>
    <n v="750"/>
    <n v="750"/>
    <n v="99500"/>
    <n v="81600"/>
    <n v="0.2193627450980393"/>
    <n v="17900"/>
    <x v="4"/>
    <d v="2016-05-02T00:00:00"/>
    <n v="1"/>
    <s v="360"/>
    <x v="0"/>
    <s v="ITA"/>
    <s v="Saturday"/>
    <n v="99500"/>
  </r>
  <r>
    <n v="47"/>
    <n v="44"/>
    <n v="1"/>
    <s v="07F0D746-085B-4FB9-9F82-6CEAC851FBC3"/>
    <n v="17500"/>
    <n v="500"/>
    <n v="21"/>
    <x v="37"/>
    <n v="44"/>
    <s v="Silver HubCaps"/>
    <s v="54, Didsbury Lane"/>
    <s v="Manchester"/>
    <s v="GB        "/>
    <x v="0"/>
    <x v="0"/>
    <n v="51"/>
    <n v="14000"/>
    <n v="1360"/>
    <n v="225"/>
    <n v="150"/>
    <n v="17500"/>
    <n v="15735"/>
    <n v="0.1121703209405784"/>
    <n v="1765"/>
    <x v="6"/>
    <d v="2016-05-02T00:00:00"/>
    <n v="9"/>
    <s v="Giulia"/>
    <x v="5"/>
    <s v="ITA"/>
    <s v="Saturday"/>
    <n v="17500"/>
  </r>
  <r>
    <n v="48"/>
    <n v="45"/>
    <n v="1"/>
    <s v="7BABE805-CE07-4C06-AAF1-6B5D83645CD8"/>
    <n v="12500"/>
    <n v="2266.5966386554619"/>
    <n v="10"/>
    <x v="36"/>
    <n v="45"/>
    <s v="Wonderland Wheels"/>
    <s v="57, Grosvenor Estate Avenue"/>
    <s v="London"/>
    <s v="GB        "/>
    <x v="0"/>
    <x v="0"/>
    <n v="52"/>
    <n v="10000"/>
    <n v="500"/>
    <n v="750"/>
    <n v="150"/>
    <n v="12500"/>
    <n v="11400"/>
    <n v="9.6491228070175517E-2"/>
    <n v="1100"/>
    <x v="4"/>
    <d v="2016-05-11T00:00:00"/>
    <n v="9"/>
    <s v="Spider"/>
    <x v="5"/>
    <s v="ITA"/>
    <s v="Saturday"/>
    <n v="12500"/>
  </r>
  <r>
    <n v="49"/>
    <n v="46"/>
    <n v="1"/>
    <s v="D7BF8DD9-1841-4FDE-8469-66B09FA30A74"/>
    <n v="9950"/>
    <n v="2266.5966386554619"/>
    <n v="15"/>
    <x v="38"/>
    <n v="46"/>
    <s v="Alexei Tolstoi"/>
    <s v="83, Abbey Road"/>
    <s v="London"/>
    <s v="GB        "/>
    <x v="0"/>
    <x v="0"/>
    <n v="76"/>
    <n v="7960"/>
    <n v="500"/>
    <n v="750"/>
    <n v="150"/>
    <n v="49450"/>
    <n v="9360"/>
    <n v="4.2831196581196576"/>
    <n v="40090"/>
    <x v="0"/>
    <d v="2016-05-25T00:00:00"/>
    <n v="16"/>
    <s v="XJS"/>
    <x v="6"/>
    <s v="GBR"/>
    <s v="Monday"/>
    <n v="49450"/>
  </r>
  <r>
    <n v="50"/>
    <n v="46"/>
    <n v="2"/>
    <s v="8F278478-CA0B-4CDB-8F02-1A054AAE88A9"/>
    <n v="39500"/>
    <n v="2450"/>
    <n v="15"/>
    <x v="38"/>
    <n v="46"/>
    <s v="Alexei Tolstoi"/>
    <s v="83, Abbey Road"/>
    <s v="London"/>
    <s v="GB        "/>
    <x v="0"/>
    <x v="0"/>
    <n v="77"/>
    <n v="31600"/>
    <n v="2000"/>
    <n v="750"/>
    <n v="550"/>
    <n v="49450"/>
    <n v="34900"/>
    <n v="0.41690544412607439"/>
    <n v="14550"/>
    <x v="4"/>
    <d v="2016-05-28T00:00:00"/>
    <n v="16"/>
    <s v="E-Type"/>
    <x v="6"/>
    <s v="GBR"/>
    <s v="Monday"/>
    <n v="49450"/>
  </r>
  <r>
    <n v="51"/>
    <n v="47"/>
    <n v="1"/>
    <s v="4FFB74AD-C031-4BD9-9589-A87F462E6842"/>
    <n v="49580"/>
    <n v="2266.5966386554619"/>
    <n v="16"/>
    <x v="38"/>
    <n v="47"/>
    <s v="SuperSport S.A.R.L."/>
    <s v="210 Place de la Republique"/>
    <s v="Paris"/>
    <s v="FR        "/>
    <x v="2"/>
    <x v="0"/>
    <n v="24"/>
    <n v="39664"/>
    <n v="660"/>
    <n v="500"/>
    <n v="550"/>
    <n v="49580"/>
    <n v="41374"/>
    <n v="0.19833711993039119"/>
    <n v="8206"/>
    <x v="4"/>
    <d v="2016-05-28T00:00:00"/>
    <n v="4"/>
    <s v="DB6"/>
    <x v="2"/>
    <s v="GBR"/>
    <s v="Monday"/>
    <n v="49580"/>
  </r>
  <r>
    <n v="52"/>
    <n v="48"/>
    <n v="1"/>
    <s v="055F7639-30EA-4975-A8CB-29F5C1C1C48E"/>
    <n v="5500"/>
    <n v="2266.5966386554619"/>
    <n v="8"/>
    <x v="39"/>
    <n v="48"/>
    <s v="M. Pierre Dubois"/>
    <s v="14, Rue De La Hutte"/>
    <s v="Marseille"/>
    <s v="FR        "/>
    <x v="2"/>
    <x v="0"/>
    <n v="86"/>
    <n v="4400"/>
    <n v="500"/>
    <n v="750"/>
    <n v="150"/>
    <n v="5500"/>
    <n v="5800"/>
    <n v="-5.1724137931034482E-2"/>
    <n v="-300"/>
    <x v="4"/>
    <d v="2016-05-28T00:00:00"/>
    <n v="21"/>
    <s v="TR4"/>
    <x v="7"/>
    <s v="GBR"/>
    <s v="Wednesday"/>
    <n v="5500"/>
  </r>
  <r>
    <n v="53"/>
    <n v="49"/>
    <n v="1"/>
    <s v="518125AE-9A67-45A6-B3FD-557C785796FC"/>
    <n v="22150"/>
    <n v="500"/>
    <n v="26"/>
    <x v="39"/>
    <n v="49"/>
    <s v="Honest Pete Motors"/>
    <s v="76, Williams Street"/>
    <s v="Stoke"/>
    <s v="GB        "/>
    <x v="0"/>
    <x v="0"/>
    <n v="11"/>
    <n v="17720"/>
    <n v="1360"/>
    <n v="750"/>
    <n v="150"/>
    <n v="22150"/>
    <n v="19980"/>
    <n v="0.1086086086086087"/>
    <n v="2170"/>
    <x v="3"/>
    <d v="2016-05-28T00:00:00"/>
    <n v="2"/>
    <s v="911"/>
    <x v="1"/>
    <s v="GER"/>
    <s v="Wednesday"/>
    <n v="22150"/>
  </r>
  <r>
    <n v="54"/>
    <n v="50"/>
    <n v="1"/>
    <s v="65F89D52-9B2D-4363-8A07-4A5CE90197DB"/>
    <n v="35000"/>
    <n v="2266.5966386554619"/>
    <n v="27"/>
    <x v="39"/>
    <n v="50"/>
    <s v="Peter Smith"/>
    <s v="82, Ell Pie Lane"/>
    <s v="Birmingham"/>
    <s v="GB        "/>
    <x v="0"/>
    <x v="0"/>
    <n v="74"/>
    <n v="28000"/>
    <n v="500"/>
    <n v="750"/>
    <n v="550"/>
    <n v="35000"/>
    <n v="29800"/>
    <n v="0.17449664429530201"/>
    <n v="5200"/>
    <x v="4"/>
    <d v="2016-06-02T00:00:00"/>
    <n v="16"/>
    <s v="XK120"/>
    <x v="6"/>
    <s v="GBR"/>
    <s v="Wednesday"/>
    <n v="35000"/>
  </r>
  <r>
    <n v="55"/>
    <n v="51"/>
    <n v="1"/>
    <s v="54A66D7C-9E0B-40E9-B1B1-CA655F060CDE"/>
    <n v="29650"/>
    <n v="2266.5966386554619"/>
    <n v="28"/>
    <x v="39"/>
    <n v="51"/>
    <s v="Vive La Vitesse"/>
    <s v="56, Rue Noiratre"/>
    <s v="Marseille"/>
    <s v="FR        "/>
    <x v="2"/>
    <x v="0"/>
    <n v="75"/>
    <n v="23720"/>
    <n v="660"/>
    <n v="750"/>
    <n v="150"/>
    <n v="174650"/>
    <n v="25280"/>
    <n v="5.9086234177215191"/>
    <n v="149370"/>
    <x v="0"/>
    <d v="2016-06-03T00:00:00"/>
    <n v="16"/>
    <s v="XK150"/>
    <x v="6"/>
    <s v="GBR"/>
    <s v="Wednesday"/>
    <n v="174650"/>
  </r>
  <r>
    <n v="56"/>
    <n v="51"/>
    <n v="2"/>
    <s v="D93AF620-4F69-475A-98ED-829E0F8A3A40"/>
    <n v="45500"/>
    <n v="2266.5966386554619"/>
    <n v="28"/>
    <x v="39"/>
    <n v="51"/>
    <s v="Vive La Vitesse"/>
    <s v="56, Rue Noiratre"/>
    <s v="Marseille"/>
    <s v="FR        "/>
    <x v="2"/>
    <x v="0"/>
    <n v="24"/>
    <n v="36400"/>
    <n v="500"/>
    <n v="750"/>
    <n v="550"/>
    <n v="174650"/>
    <n v="38200"/>
    <n v="3.5719895287958119"/>
    <n v="136450"/>
    <x v="0"/>
    <d v="2016-06-04T00:00:00"/>
    <n v="4"/>
    <s v="DB6"/>
    <x v="2"/>
    <s v="GBR"/>
    <s v="Wednesday"/>
    <n v="174650"/>
  </r>
  <r>
    <n v="57"/>
    <n v="51"/>
    <n v="3"/>
    <s v="0BE222D6-9254-4FC8-892D-76563CA81F9B"/>
    <n v="99500"/>
    <n v="750"/>
    <n v="28"/>
    <x v="39"/>
    <n v="51"/>
    <s v="Vive La Vitesse"/>
    <s v="56, Rue Noiratre"/>
    <s v="Marseille"/>
    <s v="FR        "/>
    <x v="2"/>
    <x v="0"/>
    <n v="32"/>
    <n v="79600"/>
    <n v="2175"/>
    <n v="750"/>
    <n v="750"/>
    <n v="174650"/>
    <n v="83275"/>
    <n v="1.097268087661363"/>
    <n v="91375"/>
    <x v="7"/>
    <d v="2016-06-06T00:00:00"/>
    <n v="5"/>
    <s v="Flying Spur"/>
    <x v="3"/>
    <s v="GBR"/>
    <s v="Wednesday"/>
    <n v="174650"/>
  </r>
  <r>
    <n v="58"/>
    <n v="52"/>
    <n v="1"/>
    <s v="521659A4-8FF2-441A-8D2E-C584D561301F"/>
    <n v="15650"/>
    <n v="2266.5966386554619"/>
    <n v="29"/>
    <x v="40"/>
    <n v="52"/>
    <s v="Liverpool Executive Prestige Vehicles"/>
    <s v="8, Everton Avenue"/>
    <s v="Liverpool"/>
    <s v="GB        "/>
    <x v="0"/>
    <x v="0"/>
    <n v="13"/>
    <n v="12520"/>
    <n v="500"/>
    <n v="225"/>
    <n v="150"/>
    <n v="15650"/>
    <n v="13395"/>
    <n v="0.16834639790966779"/>
    <n v="2255"/>
    <x v="3"/>
    <d v="2016-06-30T00:00:00"/>
    <n v="2"/>
    <s v="944"/>
    <x v="1"/>
    <s v="GER"/>
    <s v="Friday"/>
    <n v="15650"/>
  </r>
  <r>
    <n v="59"/>
    <n v="53"/>
    <n v="1"/>
    <s v="66CCEBEA-00EA-44B3-BBFE-AC5EC2DE456D"/>
    <n v="12500"/>
    <n v="750"/>
    <n v="20"/>
    <x v="41"/>
    <n v="53"/>
    <s v="Jason B. Wight"/>
    <s v="5300 Star Boulevard"/>
    <s v="Washington"/>
    <s v="US        "/>
    <x v="3"/>
    <x v="1"/>
    <n v="51"/>
    <n v="10000"/>
    <n v="500"/>
    <n v="750"/>
    <n v="150"/>
    <n v="12500"/>
    <n v="11400"/>
    <n v="9.6491228070175517E-2"/>
    <n v="1100"/>
    <x v="2"/>
    <d v="2016-07-03T00:00:00"/>
    <n v="9"/>
    <s v="Giulia"/>
    <x v="5"/>
    <s v="ITA"/>
    <s v="Wednesday"/>
    <n v="12500"/>
  </r>
  <r>
    <n v="60"/>
    <n v="54"/>
    <n v="1"/>
    <s v="B36188E4-3684-4337-91FE-84BB33736476"/>
    <n v="195000"/>
    <n v="2266.5966386554619"/>
    <n v="30"/>
    <x v="42"/>
    <n v="54"/>
    <s v="Mrs. Ivana Telford"/>
    <s v="52, Gerrard Mansions"/>
    <s v="Liverpool"/>
    <s v="GB        "/>
    <x v="0"/>
    <x v="0"/>
    <n v="2"/>
    <n v="156000"/>
    <n v="3950"/>
    <n v="3150"/>
    <n v="1950"/>
    <n v="195000"/>
    <n v="165050"/>
    <n v="0.18146016358679179"/>
    <n v="29950"/>
    <x v="4"/>
    <d v="2016-07-05T00:00:00"/>
    <n v="1"/>
    <s v="Testarossa"/>
    <x v="0"/>
    <s v="ITA"/>
    <s v="Monday"/>
    <n v="195000"/>
  </r>
  <r>
    <n v="61"/>
    <n v="55"/>
    <n v="1"/>
    <s v="66C9034C-23A3-44F1-B946-2DDA65E684D8"/>
    <n v="205000"/>
    <n v="2266.5966386554619"/>
    <n v="15"/>
    <x v="43"/>
    <n v="55"/>
    <s v="Alexei Tolstoi"/>
    <s v="83, Abbey Road"/>
    <s v="London"/>
    <s v="GB        "/>
    <x v="0"/>
    <x v="0"/>
    <n v="3"/>
    <n v="164000"/>
    <n v="9250"/>
    <n v="750"/>
    <n v="1950"/>
    <n v="205000"/>
    <n v="175950"/>
    <n v="0.16510372264847969"/>
    <n v="29050"/>
    <x v="4"/>
    <d v="2016-07-07T00:00:00"/>
    <n v="1"/>
    <s v="355"/>
    <x v="0"/>
    <s v="ITA"/>
    <s v="Monday"/>
    <n v="205000"/>
  </r>
  <r>
    <n v="62"/>
    <n v="56"/>
    <n v="1"/>
    <s v="E00D10E9-7F7F-49A9-BDC0-4C2611580B4E"/>
    <n v="66500"/>
    <n v="2266.5966386554619"/>
    <n v="14"/>
    <x v="43"/>
    <n v="56"/>
    <s v="Convertible Dreams"/>
    <s v="31, Archbishop Ave"/>
    <s v="London"/>
    <s v="GB        "/>
    <x v="0"/>
    <x v="0"/>
    <n v="14"/>
    <n v="53200"/>
    <n v="1490"/>
    <n v="750"/>
    <n v="750"/>
    <n v="66500"/>
    <n v="56190"/>
    <n v="0.18348460580174411"/>
    <n v="10310"/>
    <x v="4"/>
    <d v="2016-07-08T00:00:00"/>
    <n v="2"/>
    <s v="959"/>
    <x v="1"/>
    <s v="GER"/>
    <s v="Monday"/>
    <n v="66500"/>
  </r>
  <r>
    <n v="63"/>
    <n v="57"/>
    <n v="1"/>
    <s v="AAF61ECC-0BAC-4EAF-9E50-01749253329A"/>
    <n v="19500"/>
    <n v="2266.5966386554619"/>
    <n v="31"/>
    <x v="43"/>
    <n v="57"/>
    <s v="Kieran O'Harris"/>
    <s v="71, Askwith Ave"/>
    <s v="Liverpool"/>
    <s v="GB        "/>
    <x v="0"/>
    <x v="0"/>
    <n v="15"/>
    <n v="15600"/>
    <n v="1360"/>
    <n v="750"/>
    <n v="150"/>
    <n v="19500"/>
    <n v="17860"/>
    <n v="9.1825307950727852E-2"/>
    <n v="1640"/>
    <x v="3"/>
    <d v="2016-07-09T00:00:00"/>
    <n v="2"/>
    <s v="928"/>
    <x v="1"/>
    <s v="GER"/>
    <s v="Monday"/>
    <n v="19500"/>
  </r>
  <r>
    <n v="64"/>
    <n v="58"/>
    <n v="1"/>
    <s v="A1A4180E-B929-467D-91A6-73D2D0F34C65"/>
    <n v="79500"/>
    <n v="500"/>
    <n v="32"/>
    <x v="44"/>
    <n v="58"/>
    <s v="Prestige Imports"/>
    <s v="Gran Via 26"/>
    <s v="Barcelona"/>
    <s v="ES        "/>
    <x v="5"/>
    <x v="0"/>
    <n v="32"/>
    <n v="63600"/>
    <n v="2000"/>
    <n v="1500"/>
    <n v="750"/>
    <n v="79500"/>
    <n v="67850"/>
    <n v="0.17170228445099481"/>
    <n v="11650"/>
    <x v="1"/>
    <d v="2016-07-25T00:00:00"/>
    <n v="5"/>
    <s v="Flying Spur"/>
    <x v="3"/>
    <s v="GBR"/>
    <s v="Tuesday"/>
    <n v="79500"/>
  </r>
  <r>
    <n v="65"/>
    <n v="59"/>
    <n v="1"/>
    <s v="B5E7DD25-9D69-464C-9327-A8C5E706F534"/>
    <n v="14590"/>
    <n v="2266.5966386554619"/>
    <n v="33"/>
    <x v="45"/>
    <n v="59"/>
    <s v="Prestissimo!"/>
    <s v="Via Appia 239"/>
    <s v="Milan"/>
    <s v="IT        "/>
    <x v="6"/>
    <x v="0"/>
    <n v="86"/>
    <n v="11672"/>
    <n v="500"/>
    <n v="750"/>
    <n v="150"/>
    <n v="14590"/>
    <n v="13072"/>
    <n v="0.116126070991432"/>
    <n v="1518"/>
    <x v="7"/>
    <d v="2016-07-25T00:00:00"/>
    <n v="21"/>
    <s v="TR4"/>
    <x v="7"/>
    <s v="GBR"/>
    <s v="Tuesday"/>
    <n v="14590"/>
  </r>
  <r>
    <n v="66"/>
    <n v="60"/>
    <n v="1"/>
    <s v="0B0E0FC2-E72B-4BD4-9C46-1AF98F17BEC4"/>
    <n v="12750"/>
    <n v="2266.5966386554619"/>
    <n v="32"/>
    <x v="46"/>
    <n v="60"/>
    <s v="Prestige Imports"/>
    <s v="Gran Via 26"/>
    <s v="Barcelona"/>
    <s v="ES        "/>
    <x v="5"/>
    <x v="0"/>
    <n v="87"/>
    <n v="10200"/>
    <n v="970"/>
    <n v="750"/>
    <n v="150"/>
    <n v="12750"/>
    <n v="12070"/>
    <n v="5.6338028169014009E-2"/>
    <n v="680"/>
    <x v="1"/>
    <d v="2016-07-25T00:00:00"/>
    <n v="21"/>
    <s v="TR5"/>
    <x v="7"/>
    <s v="GBR"/>
    <s v="Tuesday"/>
    <n v="12750"/>
  </r>
  <r>
    <n v="67"/>
    <n v="61"/>
    <n v="1"/>
    <s v="356EE84B-F4FD-4923-9423-D58E2863E9A1"/>
    <n v="45600"/>
    <n v="2266.5966386554619"/>
    <n v="22"/>
    <x v="46"/>
    <n v="61"/>
    <s v="Stan Collywobble"/>
    <s v="65, Townsend Road"/>
    <s v="Manchester"/>
    <s v="GB        "/>
    <x v="0"/>
    <x v="0"/>
    <n v="25"/>
    <n v="36480"/>
    <n v="500"/>
    <n v="500"/>
    <n v="550"/>
    <n v="45600"/>
    <n v="38030"/>
    <n v="0.19905337891138569"/>
    <n v="7570"/>
    <x v="9"/>
    <d v="2016-07-31T00:00:00"/>
    <n v="4"/>
    <s v="DB9"/>
    <x v="2"/>
    <s v="GBR"/>
    <s v="Tuesday"/>
    <n v="45600"/>
  </r>
  <r>
    <n v="68"/>
    <n v="62"/>
    <n v="1"/>
    <s v="92D7DE8E-0BA7-4221-B2B1-A01F7FAFDD3E"/>
    <n v="6500"/>
    <n v="500"/>
    <n v="21"/>
    <x v="46"/>
    <n v="62"/>
    <s v="Silver HubCaps"/>
    <s v="54, Didsbury Lane"/>
    <s v="Manchester"/>
    <s v="GB        "/>
    <x v="0"/>
    <x v="0"/>
    <n v="88"/>
    <n v="5200"/>
    <n v="500"/>
    <n v="750"/>
    <n v="150"/>
    <n v="6500"/>
    <n v="6600"/>
    <n v="-1.515151515151514E-2"/>
    <n v="-100"/>
    <x v="4"/>
    <d v="2016-07-31T00:00:00"/>
    <n v="21"/>
    <s v="TR6"/>
    <x v="7"/>
    <s v="GBR"/>
    <s v="Tuesday"/>
    <n v="6500"/>
  </r>
  <r>
    <n v="69"/>
    <n v="63"/>
    <n v="1"/>
    <s v="5BE0098D-511F-4CF1-B87C-2CE2532F1B31"/>
    <n v="102500"/>
    <n v="1500"/>
    <n v="15"/>
    <x v="46"/>
    <n v="63"/>
    <s v="Alexei Tolstoi"/>
    <s v="83, Abbey Road"/>
    <s v="London"/>
    <s v="GB        "/>
    <x v="0"/>
    <x v="0"/>
    <n v="26"/>
    <n v="82000"/>
    <n v="2175"/>
    <n v="1500"/>
    <n v="750"/>
    <n v="102500"/>
    <n v="86425"/>
    <n v="0.18599942146369691"/>
    <n v="16075"/>
    <x v="8"/>
    <d v="2016-07-31T00:00:00"/>
    <n v="4"/>
    <s v="Virage"/>
    <x v="2"/>
    <s v="GBR"/>
    <s v="Tuesday"/>
    <n v="102500"/>
  </r>
  <r>
    <n v="70"/>
    <n v="64"/>
    <n v="1"/>
    <s v="BDC5E621-D976-478D-A620-A0751FCBEF96"/>
    <n v="99500"/>
    <n v="2266.5966386554619"/>
    <n v="16"/>
    <x v="47"/>
    <n v="64"/>
    <s v="SuperSport S.A.R.L."/>
    <s v="210 Place de la Republique"/>
    <s v="Paris"/>
    <s v="FR        "/>
    <x v="2"/>
    <x v="0"/>
    <n v="74"/>
    <n v="79600"/>
    <n v="2000"/>
    <n v="750"/>
    <n v="750"/>
    <n v="99500"/>
    <n v="83100"/>
    <n v="0.19735258724428409"/>
    <n v="16400"/>
    <x v="5"/>
    <d v="2016-08-03T00:00:00"/>
    <n v="16"/>
    <s v="XK120"/>
    <x v="6"/>
    <s v="GBR"/>
    <s v="Tuesday"/>
    <n v="99500"/>
  </r>
  <r>
    <n v="71"/>
    <n v="65"/>
    <n v="1"/>
    <s v="72EF5AA5-997C-4AC0-A32E-591D1E009818"/>
    <n v="12500"/>
    <n v="750"/>
    <n v="14"/>
    <x v="48"/>
    <n v="65"/>
    <s v="Convertible Dreams"/>
    <s v="31, Archbishop Ave"/>
    <s v="London"/>
    <s v="GB        "/>
    <x v="0"/>
    <x v="0"/>
    <n v="28"/>
    <n v="10000"/>
    <n v="500"/>
    <n v="750"/>
    <n v="150"/>
    <n v="12500"/>
    <n v="11400"/>
    <n v="9.6491228070175517E-2"/>
    <n v="1100"/>
    <x v="9"/>
    <d v="2016-08-03T00:00:00"/>
    <n v="4"/>
    <s v="Vanquish"/>
    <x v="2"/>
    <s v="GBR"/>
    <s v="Wednesday"/>
    <n v="12500"/>
  </r>
  <r>
    <n v="72"/>
    <n v="66"/>
    <n v="1"/>
    <s v="4BFD3782-0B79-4F4E-981A-96CEF827497F"/>
    <n v="61500"/>
    <n v="2266.5966386554619"/>
    <n v="4"/>
    <x v="49"/>
    <n v="66"/>
    <s v="WunderKar"/>
    <s v="AlexanderPlatz 205"/>
    <s v="Berlin"/>
    <s v="DE        "/>
    <x v="1"/>
    <x v="0"/>
    <n v="29"/>
    <n v="49200"/>
    <n v="1360"/>
    <n v="750"/>
    <n v="550"/>
    <n v="61500"/>
    <n v="51860"/>
    <n v="0.18588507520246811"/>
    <n v="9640"/>
    <x v="0"/>
    <d v="2016-08-10T00:00:00"/>
    <n v="4"/>
    <s v="Rapide"/>
    <x v="2"/>
    <s v="GBR"/>
    <s v="Friday"/>
    <n v="61500"/>
  </r>
  <r>
    <n v="73"/>
    <n v="67"/>
    <n v="1"/>
    <s v="E6E23C74-39AF-4A44-BAAE-7CD48B0F6161"/>
    <n v="79500"/>
    <n v="2450"/>
    <n v="6"/>
    <x v="50"/>
    <n v="67"/>
    <s v="Le Luxe en Motion"/>
    <s v="Avenue des Indes, 26"/>
    <s v="Geneva"/>
    <s v="CH        "/>
    <x v="4"/>
    <x v="0"/>
    <n v="25"/>
    <n v="63600"/>
    <n v="1490"/>
    <n v="750"/>
    <n v="750"/>
    <n v="79500"/>
    <n v="66590"/>
    <n v="0.19387295389698139"/>
    <n v="12910"/>
    <x v="0"/>
    <d v="2016-08-10T00:00:00"/>
    <n v="4"/>
    <s v="DB9"/>
    <x v="2"/>
    <s v="GBR"/>
    <s v="Saturday"/>
    <n v="79500"/>
  </r>
  <r>
    <n v="74"/>
    <n v="68"/>
    <n v="1"/>
    <s v="420701D6-5F66-4885-8A72-8B54541965A6"/>
    <n v="16500"/>
    <n v="2266.5966386554619"/>
    <n v="18"/>
    <x v="50"/>
    <n v="68"/>
    <s v="Peter McLuckie"/>
    <s v="73, Entwhistle Street"/>
    <s v="London"/>
    <s v="GB        "/>
    <x v="0"/>
    <x v="0"/>
    <n v="12"/>
    <n v="13200"/>
    <n v="500"/>
    <n v="750"/>
    <n v="150"/>
    <n v="50100"/>
    <n v="14600"/>
    <n v="2.4315068493150691"/>
    <n v="35500"/>
    <x v="2"/>
    <d v="2016-08-10T00:00:00"/>
    <n v="2"/>
    <s v="924"/>
    <x v="1"/>
    <s v="GER"/>
    <s v="Saturday"/>
    <n v="50100"/>
  </r>
  <r>
    <n v="75"/>
    <n v="68"/>
    <n v="2"/>
    <s v="870C2B0A-A6AE-4F84-91EF-806C985A02E5"/>
    <n v="33600"/>
    <n v="2266.5966386554619"/>
    <n v="18"/>
    <x v="50"/>
    <n v="68"/>
    <s v="Peter McLuckie"/>
    <s v="73, Entwhistle Street"/>
    <s v="London"/>
    <s v="GB        "/>
    <x v="0"/>
    <x v="0"/>
    <n v="11"/>
    <n v="26880"/>
    <n v="500"/>
    <n v="500"/>
    <n v="550"/>
    <n v="50100"/>
    <n v="28430"/>
    <n v="0.7622230038691522"/>
    <n v="21670"/>
    <x v="4"/>
    <d v="2016-08-10T00:00:00"/>
    <n v="2"/>
    <s v="911"/>
    <x v="1"/>
    <s v="GER"/>
    <s v="Saturday"/>
    <n v="50100"/>
  </r>
  <r>
    <n v="76"/>
    <n v="69"/>
    <n v="1"/>
    <s v="6BF8C577-E615-4667-A48C-25E8D825AAC6"/>
    <n v="66500"/>
    <n v="750"/>
    <n v="5"/>
    <x v="50"/>
    <n v="69"/>
    <s v="Casseroles Chromes"/>
    <s v="29, Rue Gigondas"/>
    <s v="Lyon"/>
    <s v="FR        "/>
    <x v="2"/>
    <x v="0"/>
    <n v="11"/>
    <n v="53200"/>
    <n v="2175"/>
    <n v="1500"/>
    <n v="750"/>
    <n v="66500"/>
    <n v="57625"/>
    <n v="0.15401301518438171"/>
    <n v="8875"/>
    <x v="2"/>
    <d v="2016-08-10T00:00:00"/>
    <n v="2"/>
    <s v="911"/>
    <x v="1"/>
    <s v="GER"/>
    <s v="Saturday"/>
    <n v="66500"/>
  </r>
  <r>
    <n v="77"/>
    <n v="70"/>
    <n v="1"/>
    <s v="98C3863B-7A70-4FAD-B3C7-2B5702956E18"/>
    <n v="45000"/>
    <n v="2266.5966386554619"/>
    <n v="33"/>
    <x v="51"/>
    <n v="70"/>
    <s v="Prestissimo!"/>
    <s v="Via Appia 239"/>
    <s v="Milan"/>
    <s v="IT        "/>
    <x v="6"/>
    <x v="0"/>
    <n v="23"/>
    <n v="36000"/>
    <n v="500"/>
    <n v="150"/>
    <n v="550"/>
    <n v="45000"/>
    <n v="37200"/>
    <n v="0.20967741935483869"/>
    <n v="7800"/>
    <x v="0"/>
    <d v="2016-08-11T00:00:00"/>
    <n v="4"/>
    <s v="DB5"/>
    <x v="2"/>
    <s v="GBR"/>
    <s v="Friday"/>
    <n v="45000"/>
  </r>
  <r>
    <n v="78"/>
    <n v="71"/>
    <n v="1"/>
    <s v="8C1E8506-711C-442A-89A4-EDA28EB5B788"/>
    <n v="19500"/>
    <n v="2266.5966386554619"/>
    <n v="23"/>
    <x v="51"/>
    <n v="71"/>
    <s v="Glitz"/>
    <s v="FriedrichStrasse 579"/>
    <s v="Stuttgart"/>
    <s v="DE        "/>
    <x v="1"/>
    <x v="0"/>
    <n v="13"/>
    <n v="15600"/>
    <n v="500"/>
    <n v="750"/>
    <n v="150"/>
    <n v="19500"/>
    <n v="17000"/>
    <n v="0.14705882352941169"/>
    <n v="2500"/>
    <x v="3"/>
    <d v="2016-08-11T00:00:00"/>
    <n v="2"/>
    <s v="944"/>
    <x v="1"/>
    <s v="GER"/>
    <s v="Friday"/>
    <n v="19500"/>
  </r>
  <r>
    <n v="79"/>
    <n v="72"/>
    <n v="1"/>
    <s v="BC4D491E-764B-48AE-BEDC-07DE123B7200"/>
    <n v="76500"/>
    <n v="2266.5966386554619"/>
    <n v="21"/>
    <x v="52"/>
    <n v="72"/>
    <s v="Silver HubCaps"/>
    <s v="54, Didsbury Lane"/>
    <s v="Manchester"/>
    <s v="GB        "/>
    <x v="0"/>
    <x v="0"/>
    <n v="32"/>
    <n v="61200"/>
    <n v="2000"/>
    <n v="750"/>
    <n v="750"/>
    <n v="76500"/>
    <n v="64700"/>
    <n v="0.18238021638330751"/>
    <n v="11800"/>
    <x v="8"/>
    <d v="2016-08-20T00:00:00"/>
    <n v="5"/>
    <s v="Flying Spur"/>
    <x v="3"/>
    <s v="GBR"/>
    <s v="Sunday"/>
    <n v="76500"/>
  </r>
  <r>
    <n v="80"/>
    <n v="73"/>
    <n v="1"/>
    <s v="4C00023A-47C5-4F98-A9B1-F222EDE2F563"/>
    <n v="45900"/>
    <n v="500"/>
    <n v="14"/>
    <x v="53"/>
    <n v="73"/>
    <s v="Convertible Dreams"/>
    <s v="31, Archbishop Ave"/>
    <s v="London"/>
    <s v="GB        "/>
    <x v="0"/>
    <x v="0"/>
    <n v="26"/>
    <n v="36720"/>
    <n v="500"/>
    <n v="500"/>
    <n v="550"/>
    <n v="45900"/>
    <n v="38270"/>
    <n v="0.19937287692709699"/>
    <n v="7630"/>
    <x v="0"/>
    <d v="2016-08-20T00:00:00"/>
    <n v="4"/>
    <s v="Virage"/>
    <x v="2"/>
    <s v="GBR"/>
    <s v="Monday"/>
    <n v="45900"/>
  </r>
  <r>
    <n v="81"/>
    <n v="74"/>
    <n v="1"/>
    <s v="170FAF32-4223-4806-B483-D89F4D38AC16"/>
    <n v="125000"/>
    <n v="1500"/>
    <n v="34"/>
    <x v="54"/>
    <n v="74"/>
    <s v="Diplomatic Cars"/>
    <s v="Rue Des Coteaux, 39"/>
    <s v="Brussels"/>
    <s v="BE        "/>
    <x v="7"/>
    <x v="0"/>
    <n v="27"/>
    <n v="100000"/>
    <n v="500"/>
    <n v="2200"/>
    <n v="750"/>
    <n v="125000"/>
    <n v="103450"/>
    <n v="0.20831319478008689"/>
    <n v="21550"/>
    <x v="6"/>
    <d v="2016-08-22T00:00:00"/>
    <n v="4"/>
    <s v="Vantage"/>
    <x v="2"/>
    <s v="GBR"/>
    <s v="Tuesday"/>
    <n v="125000"/>
  </r>
  <r>
    <n v="82"/>
    <n v="75"/>
    <n v="1"/>
    <s v="9CFAF367-ED4B-4A3E-8CB2-394F1F7A58C1"/>
    <n v="65500"/>
    <n v="2266.5966386554619"/>
    <n v="35"/>
    <x v="55"/>
    <n v="75"/>
    <s v="Laurent Saint Yves"/>
    <s v="49, Rue Quicampoix"/>
    <s v="Marseille"/>
    <s v="FR        "/>
    <x v="2"/>
    <x v="0"/>
    <n v="28"/>
    <n v="52400"/>
    <n v="500"/>
    <n v="750"/>
    <n v="750"/>
    <n v="65500"/>
    <n v="54400"/>
    <n v="0.2040441176470589"/>
    <n v="11100"/>
    <x v="6"/>
    <d v="2016-08-22T00:00:00"/>
    <n v="4"/>
    <s v="Vanquish"/>
    <x v="2"/>
    <s v="GBR"/>
    <s v="Wednesday"/>
    <n v="65500"/>
  </r>
  <r>
    <n v="83"/>
    <n v="76"/>
    <n v="1"/>
    <s v="126C36BB-9C33-4BC5-9127-F941731DD0C8"/>
    <n v="92150"/>
    <n v="2266.5966386554619"/>
    <n v="36"/>
    <x v="56"/>
    <n v="76"/>
    <s v="Screamin' Wheels"/>
    <s v="1090 Reagan Road"/>
    <s v="Los Angeles"/>
    <s v="US        "/>
    <x v="3"/>
    <x v="1"/>
    <n v="32"/>
    <n v="73720"/>
    <n v="2175"/>
    <n v="225"/>
    <n v="750"/>
    <n v="92150"/>
    <n v="76870"/>
    <n v="0.19877715623780401"/>
    <n v="15280"/>
    <x v="1"/>
    <d v="2016-08-22T00:00:00"/>
    <n v="5"/>
    <s v="Flying Spur"/>
    <x v="3"/>
    <s v="GBR"/>
    <s v="Thursday"/>
    <n v="92150"/>
  </r>
  <r>
    <n v="84"/>
    <n v="77"/>
    <n v="1"/>
    <s v="98B3C1C2-7AE2-4A88-A3C9-484483C6EC66"/>
    <n v="9500"/>
    <n v="2266.5966386554619"/>
    <n v="37"/>
    <x v="57"/>
    <n v="77"/>
    <s v="Screamin' Wheels"/>
    <s v="4, Churchill Close"/>
    <s v="London"/>
    <s v="GB        "/>
    <x v="0"/>
    <x v="0"/>
    <n v="15"/>
    <n v="7600"/>
    <n v="500"/>
    <n v="750"/>
    <n v="150"/>
    <n v="9500"/>
    <n v="9000"/>
    <n v="5.555555555555558E-2"/>
    <n v="500"/>
    <x v="4"/>
    <d v="2016-08-25T00:00:00"/>
    <n v="2"/>
    <s v="928"/>
    <x v="1"/>
    <s v="GER"/>
    <s v="Sunday"/>
    <n v="9500"/>
  </r>
  <r>
    <n v="85"/>
    <n v="78"/>
    <n v="1"/>
    <s v="4A40B2AA-A76B-4C08-A59B-19CDE0ED868C"/>
    <n v="9950"/>
    <n v="2266.5966386554619"/>
    <n v="33"/>
    <x v="57"/>
    <n v="78"/>
    <s v="Prestissimo!"/>
    <s v="Via Appia 239"/>
    <s v="Milan"/>
    <s v="IT        "/>
    <x v="6"/>
    <x v="0"/>
    <n v="88"/>
    <n v="7960"/>
    <n v="500"/>
    <n v="225"/>
    <n v="150"/>
    <n v="9950"/>
    <n v="8835"/>
    <n v="0.12620260328239949"/>
    <n v="1115"/>
    <x v="1"/>
    <d v="2016-08-25T00:00:00"/>
    <n v="21"/>
    <s v="TR6"/>
    <x v="7"/>
    <s v="GBR"/>
    <s v="Sunday"/>
    <n v="9950"/>
  </r>
  <r>
    <n v="86"/>
    <n v="79"/>
    <n v="1"/>
    <s v="100EE806-DFE5-4C5E-9AB4-8F881615F8BD"/>
    <n v="5680"/>
    <n v="500"/>
    <n v="25"/>
    <x v="58"/>
    <n v="79"/>
    <s v="King Leer Cars"/>
    <s v="87, Lindisfarne Road"/>
    <s v="Newcastle"/>
    <s v="GB        "/>
    <x v="0"/>
    <x v="0"/>
    <n v="87"/>
    <n v="4544"/>
    <n v="500"/>
    <n v="150"/>
    <n v="150"/>
    <n v="5680"/>
    <n v="5344"/>
    <n v="6.2874251497005984E-2"/>
    <n v="336"/>
    <x v="5"/>
    <d v="2016-08-26T00:00:00"/>
    <n v="21"/>
    <s v="TR5"/>
    <x v="7"/>
    <s v="GBR"/>
    <s v="Monday"/>
    <n v="5680"/>
  </r>
  <r>
    <n v="87"/>
    <n v="80"/>
    <n v="1"/>
    <s v="00DDC5C0-E266-49E4-A785-E4F8BC3C9B24"/>
    <n v="19500"/>
    <n v="2266.5966386554619"/>
    <n v="24"/>
    <x v="59"/>
    <n v="80"/>
    <s v="Matterhorn Motors"/>
    <s v="1, Rue de la Colline"/>
    <s v="Lausanne"/>
    <s v="CH        "/>
    <x v="4"/>
    <x v="0"/>
    <n v="89"/>
    <n v="15600"/>
    <n v="2000"/>
    <n v="750"/>
    <n v="150"/>
    <n v="19500"/>
    <n v="18500"/>
    <n v="5.4054054054053953E-2"/>
    <n v="1000"/>
    <x v="4"/>
    <d v="2016-08-28T00:00:00"/>
    <n v="21"/>
    <s v="TR7"/>
    <x v="7"/>
    <s v="GBR"/>
    <s v="Tuesday"/>
    <n v="19500"/>
  </r>
  <r>
    <n v="88"/>
    <n v="81"/>
    <n v="1"/>
    <s v="97AFC7D5-91BF-47E3-8568-01B704E956C2"/>
    <n v="3500"/>
    <n v="2266.5966386554619"/>
    <n v="15"/>
    <x v="60"/>
    <n v="81"/>
    <s v="Alexei Tolstoi"/>
    <s v="83, Abbey Road"/>
    <s v="London"/>
    <s v="GB        "/>
    <x v="0"/>
    <x v="0"/>
    <n v="90"/>
    <n v="2800"/>
    <n v="500"/>
    <n v="750"/>
    <n v="150"/>
    <n v="3500"/>
    <n v="4200"/>
    <n v="-0.1666666666666666"/>
    <n v="-700"/>
    <x v="4"/>
    <d v="2016-09-01T00:00:00"/>
    <n v="21"/>
    <s v="GT6"/>
    <x v="7"/>
    <s v="GBR"/>
    <s v="Sunday"/>
    <n v="3500"/>
  </r>
  <r>
    <n v="89"/>
    <n v="82"/>
    <n v="1"/>
    <s v="6A2699A6-ED27-42A9-B811-06D19EB5FA3C"/>
    <n v="3950"/>
    <n v="2266.5966386554619"/>
    <n v="6"/>
    <x v="60"/>
    <n v="82"/>
    <s v="Le Luxe en Motion"/>
    <s v="Avenue des Indes, 26"/>
    <s v="Geneva"/>
    <s v="CH        "/>
    <x v="4"/>
    <x v="0"/>
    <n v="89"/>
    <n v="3160"/>
    <n v="500"/>
    <n v="150"/>
    <n v="150"/>
    <n v="3950"/>
    <n v="3960"/>
    <n v="-2.525252525252486E-3"/>
    <n v="-10"/>
    <x v="4"/>
    <d v="2016-09-01T00:00:00"/>
    <n v="21"/>
    <s v="TR7"/>
    <x v="7"/>
    <s v="GBR"/>
    <s v="Sunday"/>
    <n v="3950"/>
  </r>
  <r>
    <n v="90"/>
    <n v="83"/>
    <n v="1"/>
    <s v="70C9BE5C-3CCA-4FB2-B4DE-E5F0A61BB84D"/>
    <n v="20950"/>
    <n v="750"/>
    <n v="19"/>
    <x v="60"/>
    <n v="83"/>
    <s v="Posh Vehicles Ltd"/>
    <s v="82, Millar Close"/>
    <s v="Manchester"/>
    <s v="GB        "/>
    <x v="0"/>
    <x v="0"/>
    <n v="11"/>
    <n v="16760"/>
    <n v="1360"/>
    <n v="750"/>
    <n v="150"/>
    <n v="20950"/>
    <n v="19020"/>
    <n v="0.10147213459516299"/>
    <n v="1930"/>
    <x v="2"/>
    <d v="2016-09-03T00:00:00"/>
    <n v="2"/>
    <s v="911"/>
    <x v="1"/>
    <s v="GER"/>
    <s v="Sunday"/>
    <n v="20950"/>
  </r>
  <r>
    <n v="91"/>
    <n v="84"/>
    <n v="1"/>
    <s v="B76D6985-E106-4213-AACC-288088795C92"/>
    <n v="7500"/>
    <n v="75"/>
    <n v="3"/>
    <x v="61"/>
    <n v="84"/>
    <s v="Birmingham Executive Prestige Vehicles"/>
    <s v="96, Aardvark Avenue"/>
    <s v="Birmingham"/>
    <s v="GB        "/>
    <x v="0"/>
    <x v="0"/>
    <n v="13"/>
    <n v="6000"/>
    <n v="500"/>
    <n v="750"/>
    <n v="150"/>
    <n v="7500"/>
    <n v="7400"/>
    <n v="1.3513513513513599E-2"/>
    <n v="100"/>
    <x v="2"/>
    <d v="2016-09-05T00:00:00"/>
    <n v="2"/>
    <s v="944"/>
    <x v="1"/>
    <s v="GER"/>
    <s v="Tuesday"/>
    <n v="7500"/>
  </r>
  <r>
    <n v="92"/>
    <n v="85"/>
    <n v="1"/>
    <s v="955E8BC5-C31B-4EE5-A48D-76517063C334"/>
    <n v="56500"/>
    <n v="1500"/>
    <n v="2"/>
    <x v="62"/>
    <n v="85"/>
    <s v="Snazzy Roadsters"/>
    <s v="102, Bleak Street"/>
    <s v="Birmingham"/>
    <s v="GB        "/>
    <x v="0"/>
    <x v="0"/>
    <n v="26"/>
    <n v="45200"/>
    <n v="500"/>
    <n v="1500"/>
    <n v="550"/>
    <n v="56500"/>
    <n v="47750"/>
    <n v="0.18324607329842929"/>
    <n v="8750"/>
    <x v="9"/>
    <d v="2016-09-05T00:00:00"/>
    <n v="4"/>
    <s v="Virage"/>
    <x v="2"/>
    <s v="GBR"/>
    <s v="Wednesday"/>
    <n v="56500"/>
  </r>
  <r>
    <n v="93"/>
    <n v="86"/>
    <n v="1"/>
    <s v="2FCD3EBC-CBA7-4B3C-B6A0-A3A011D3A47B"/>
    <n v="49500"/>
    <n v="750"/>
    <n v="22"/>
    <x v="62"/>
    <n v="86"/>
    <s v="Stan Collywobble"/>
    <s v="65, Townsend Road"/>
    <s v="Manchester"/>
    <s v="GB        "/>
    <x v="0"/>
    <x v="0"/>
    <n v="27"/>
    <n v="39600"/>
    <n v="660"/>
    <n v="500"/>
    <n v="550"/>
    <n v="49500"/>
    <n v="41310"/>
    <n v="0.1982570806100219"/>
    <n v="8190"/>
    <x v="2"/>
    <d v="2016-09-06T00:00:00"/>
    <n v="4"/>
    <s v="Vantage"/>
    <x v="2"/>
    <s v="GBR"/>
    <s v="Wednesday"/>
    <n v="49500"/>
  </r>
  <r>
    <n v="94"/>
    <n v="87"/>
    <n v="1"/>
    <s v="155E940E-7AA7-47EA-B83F-B3521F0B5718"/>
    <n v="68900"/>
    <n v="2266.5966386554619"/>
    <n v="32"/>
    <x v="63"/>
    <n v="87"/>
    <s v="Prestige Imports"/>
    <s v="Gran Via 26"/>
    <s v="Barcelona"/>
    <s v="ES        "/>
    <x v="5"/>
    <x v="0"/>
    <n v="11"/>
    <n v="55120"/>
    <n v="500"/>
    <n v="750"/>
    <n v="750"/>
    <n v="68900"/>
    <n v="57120"/>
    <n v="0.20623249299719881"/>
    <n v="11780"/>
    <x v="9"/>
    <d v="2016-09-09T00:00:00"/>
    <n v="2"/>
    <s v="911"/>
    <x v="1"/>
    <s v="GER"/>
    <s v="Sunday"/>
    <n v="68900"/>
  </r>
  <r>
    <n v="95"/>
    <n v="88"/>
    <n v="1"/>
    <s v="B25CB659-C0A2-451E-AADB-7A006414D6E1"/>
    <n v="55000"/>
    <n v="2266.5966386554619"/>
    <n v="1"/>
    <x v="63"/>
    <n v="88"/>
    <s v="Magic Motors"/>
    <s v="27, Handsworth Road"/>
    <s v="Birmingham"/>
    <s v="GB        "/>
    <x v="0"/>
    <x v="0"/>
    <n v="28"/>
    <n v="44000"/>
    <n v="500"/>
    <n v="150"/>
    <n v="550"/>
    <n v="55000"/>
    <n v="45200"/>
    <n v="0.2168141592920354"/>
    <n v="9800"/>
    <x v="7"/>
    <d v="2016-09-10T00:00:00"/>
    <n v="4"/>
    <s v="Vanquish"/>
    <x v="2"/>
    <s v="GBR"/>
    <s v="Sunday"/>
    <n v="55000"/>
  </r>
  <r>
    <n v="96"/>
    <n v="89"/>
    <n v="1"/>
    <s v="19D1000C-178F-4BBA-9B19-C93804D047AC"/>
    <n v="3575"/>
    <n v="2266.5966386554619"/>
    <n v="8"/>
    <x v="64"/>
    <n v="89"/>
    <s v="M. Pierre Dubois"/>
    <s v="14, Rue De La Hutte"/>
    <s v="Marseille"/>
    <s v="FR        "/>
    <x v="2"/>
    <x v="0"/>
    <n v="73"/>
    <n v="2860"/>
    <n v="500"/>
    <n v="750"/>
    <n v="150"/>
    <n v="3575"/>
    <n v="4260"/>
    <n v="-0.16079812206572769"/>
    <n v="-685"/>
    <x v="7"/>
    <d v="2016-09-11T00:00:00"/>
    <n v="16"/>
    <s v="XJ12"/>
    <x v="6"/>
    <s v="GBR"/>
    <s v="Wednesday"/>
    <n v="3575"/>
  </r>
  <r>
    <n v="97"/>
    <n v="90"/>
    <n v="1"/>
    <s v="DD6A0129-40CF-449F-8427-1C97BF14B2BD"/>
    <n v="35250"/>
    <n v="2266.5966386554619"/>
    <n v="12"/>
    <x v="64"/>
    <n v="90"/>
    <s v="Glittering Prize Cars Ltd"/>
    <s v="46, Golders Green Road"/>
    <s v="London"/>
    <s v="GB        "/>
    <x v="0"/>
    <x v="0"/>
    <n v="73"/>
    <n v="28200"/>
    <n v="500"/>
    <n v="750"/>
    <n v="550"/>
    <n v="35250"/>
    <n v="30000"/>
    <n v="0.17499999999999999"/>
    <n v="5250"/>
    <x v="2"/>
    <d v="2016-09-11T00:00:00"/>
    <n v="16"/>
    <s v="XJ12"/>
    <x v="6"/>
    <s v="GBR"/>
    <s v="Wednesday"/>
    <n v="35250"/>
  </r>
  <r>
    <n v="98"/>
    <n v="91"/>
    <n v="1"/>
    <s v="66D70810-1EE2-4BCA-B1B4-1E5B86C75002"/>
    <n v="19600"/>
    <n v="1250"/>
    <n v="13"/>
    <x v="65"/>
    <n v="91"/>
    <s v="La Bagnole de Luxe"/>
    <s v="890 Place de la Concorde"/>
    <s v="Paris"/>
    <s v="FR        "/>
    <x v="2"/>
    <x v="0"/>
    <n v="74"/>
    <n v="15680"/>
    <n v="1360"/>
    <n v="150"/>
    <n v="150"/>
    <n v="47490"/>
    <n v="17340"/>
    <n v="1.738754325259515"/>
    <n v="30150"/>
    <x v="3"/>
    <d v="2016-09-15T00:00:00"/>
    <n v="16"/>
    <s v="XK120"/>
    <x v="6"/>
    <s v="GBR"/>
    <s v="Friday"/>
    <n v="47490"/>
  </r>
  <r>
    <n v="99"/>
    <n v="91"/>
    <n v="2"/>
    <s v="384778FF-C28D-4FE6-9BEF-D787EFDC23CF"/>
    <n v="27890"/>
    <n v="2266.5966386554619"/>
    <n v="13"/>
    <x v="65"/>
    <n v="91"/>
    <s v="La Bagnole de Luxe"/>
    <s v="890 Place de la Concorde"/>
    <s v="Paris"/>
    <s v="FR        "/>
    <x v="2"/>
    <x v="0"/>
    <n v="74"/>
    <n v="22312"/>
    <n v="970"/>
    <n v="500"/>
    <n v="150"/>
    <n v="47490"/>
    <n v="23932"/>
    <n v="0.98437238843389596"/>
    <n v="23558"/>
    <x v="4"/>
    <d v="2016-09-15T00:00:00"/>
    <n v="16"/>
    <s v="XK120"/>
    <x v="6"/>
    <s v="GBR"/>
    <s v="Friday"/>
    <n v="47490"/>
  </r>
  <r>
    <n v="100"/>
    <n v="92"/>
    <n v="1"/>
    <s v="B760CF74-6468-4A0D-9485-36C7F7710EB0"/>
    <n v="45950"/>
    <n v="2266.5966386554619"/>
    <n v="15"/>
    <x v="65"/>
    <n v="92"/>
    <s v="Alexei Tolstoi"/>
    <s v="83, Abbey Road"/>
    <s v="London"/>
    <s v="GB        "/>
    <x v="0"/>
    <x v="0"/>
    <n v="11"/>
    <n v="36760"/>
    <n v="970"/>
    <n v="750"/>
    <n v="550"/>
    <n v="45950"/>
    <n v="39030"/>
    <n v="0.17729951319497819"/>
    <n v="6920"/>
    <x v="3"/>
    <d v="2016-09-16T00:00:00"/>
    <n v="2"/>
    <s v="911"/>
    <x v="1"/>
    <s v="GER"/>
    <s v="Friday"/>
    <n v="45950"/>
  </r>
  <r>
    <n v="101"/>
    <n v="93"/>
    <n v="1"/>
    <s v="E1350CBE-B916-4F18-B5BF-F7D53A31205A"/>
    <n v="9950"/>
    <n v="2266.5966386554619"/>
    <n v="25"/>
    <x v="66"/>
    <n v="93"/>
    <s v="King Leer Cars"/>
    <s v="87, Lindisfarne Road"/>
    <s v="Newcastle"/>
    <s v="GB        "/>
    <x v="0"/>
    <x v="0"/>
    <n v="12"/>
    <n v="7960"/>
    <n v="500"/>
    <n v="150"/>
    <n v="150"/>
    <n v="9950"/>
    <n v="8760"/>
    <n v="0.13584474885844761"/>
    <n v="1190"/>
    <x v="4"/>
    <d v="2016-09-17T00:00:00"/>
    <n v="2"/>
    <s v="924"/>
    <x v="1"/>
    <s v="GER"/>
    <s v="Sunday"/>
    <n v="9950"/>
  </r>
  <r>
    <n v="102"/>
    <n v="94"/>
    <n v="1"/>
    <s v="9D74A1A9-7342-4FEA-9C21-6AC4EFE92018"/>
    <n v="6550"/>
    <n v="750"/>
    <n v="26"/>
    <x v="67"/>
    <n v="94"/>
    <s v="Honest Pete Motors"/>
    <s v="76, Williams Street"/>
    <s v="Stoke"/>
    <s v="GB        "/>
    <x v="0"/>
    <x v="0"/>
    <n v="87"/>
    <n v="5240"/>
    <n v="500"/>
    <n v="750"/>
    <n v="150"/>
    <n v="163050"/>
    <n v="6640"/>
    <n v="23.555722891566269"/>
    <n v="156410"/>
    <x v="4"/>
    <d v="2016-09-18T00:00:00"/>
    <n v="21"/>
    <s v="TR5"/>
    <x v="7"/>
    <s v="GBR"/>
    <s v="Monday"/>
    <n v="163050"/>
  </r>
  <r>
    <n v="103"/>
    <n v="94"/>
    <n v="2"/>
    <s v="C001858B-0B5D-4648-8F0D-80269964C921"/>
    <n v="156500"/>
    <n v="2266.5966386554619"/>
    <n v="26"/>
    <x v="67"/>
    <n v="94"/>
    <s v="Honest Pete Motors"/>
    <s v="76, Williams Street"/>
    <s v="Stoke"/>
    <s v="GB        "/>
    <x v="0"/>
    <x v="0"/>
    <n v="3"/>
    <n v="125200"/>
    <n v="2200"/>
    <n v="3150"/>
    <n v="1950"/>
    <n v="163050"/>
    <n v="132500"/>
    <n v="0.23056603773584919"/>
    <n v="30550"/>
    <x v="2"/>
    <d v="2015-09-11T00:00:00"/>
    <n v="1"/>
    <s v="355"/>
    <x v="0"/>
    <s v="ITA"/>
    <s v="Monday"/>
    <n v="163050"/>
  </r>
  <r>
    <n v="104"/>
    <n v="95"/>
    <n v="1"/>
    <s v="BB4B9483-7AE3-47B4-A788-7EB5D12A7516"/>
    <n v="76500"/>
    <n v="1500"/>
    <n v="22"/>
    <x v="68"/>
    <n v="95"/>
    <s v="Stan Collywobble"/>
    <s v="65, Townsend Road"/>
    <s v="Manchester"/>
    <s v="GB        "/>
    <x v="0"/>
    <x v="0"/>
    <n v="33"/>
    <n v="61200"/>
    <n v="2175"/>
    <n v="750"/>
    <n v="750"/>
    <n v="76500"/>
    <n v="64875"/>
    <n v="0.17919075144508681"/>
    <n v="11625"/>
    <x v="5"/>
    <d v="2016-10-01T00:00:00"/>
    <n v="5"/>
    <s v="Arnage"/>
    <x v="3"/>
    <s v="GBR"/>
    <s v="Wednesday"/>
    <n v="76500"/>
  </r>
  <r>
    <n v="105"/>
    <n v="96"/>
    <n v="1"/>
    <s v="6120D922-6703-4267-969B-A9A9D3CAE787"/>
    <n v="119600"/>
    <n v="2266.5966386554619"/>
    <n v="32"/>
    <x v="69"/>
    <n v="96"/>
    <s v="Prestige Imports"/>
    <s v="Gran Via 26"/>
    <s v="Barcelona"/>
    <s v="ES        "/>
    <x v="5"/>
    <x v="0"/>
    <n v="35"/>
    <n v="95680"/>
    <n v="1490"/>
    <n v="2200"/>
    <n v="750"/>
    <n v="119600"/>
    <n v="100120"/>
    <n v="0.1945665201757891"/>
    <n v="19480"/>
    <x v="6"/>
    <d v="2016-10-03T00:00:00"/>
    <n v="6"/>
    <s v="Phantom"/>
    <x v="9"/>
    <s v="GBR"/>
    <s v="Wednesday"/>
    <n v="119600"/>
  </r>
  <r>
    <n v="106"/>
    <n v="97"/>
    <n v="1"/>
    <s v="30DC26F7-E98B-4FE8-B834-D625EC7E12F3"/>
    <n v="85650"/>
    <n v="2450"/>
    <n v="38"/>
    <x v="70"/>
    <n v="97"/>
    <s v="Executive Motor Delight"/>
    <s v="17, The Brambles"/>
    <s v="London"/>
    <s v="GB        "/>
    <x v="0"/>
    <x v="0"/>
    <n v="33"/>
    <n v="68520"/>
    <n v="2175"/>
    <n v="750"/>
    <n v="750"/>
    <n v="95600"/>
    <n v="72195"/>
    <n v="0.32419142599903039"/>
    <n v="23405"/>
    <x v="7"/>
    <d v="2016-10-10T00:00:00"/>
    <n v="5"/>
    <s v="Arnage"/>
    <x v="3"/>
    <s v="GBR"/>
    <s v="Sunday"/>
    <n v="95600"/>
  </r>
  <r>
    <n v="107"/>
    <n v="97"/>
    <n v="2"/>
    <s v="34A69512-CDC3-4BEB-ADCB-AAE360CA7CF4"/>
    <n v="9950"/>
    <n v="2266.5966386554619"/>
    <n v="38"/>
    <x v="70"/>
    <n v="97"/>
    <s v="Executive Motor Delight"/>
    <s v="17, The Brambles"/>
    <s v="London"/>
    <s v="GB        "/>
    <x v="0"/>
    <x v="0"/>
    <n v="89"/>
    <n v="7960"/>
    <n v="500"/>
    <n v="750"/>
    <n v="150"/>
    <n v="95600"/>
    <n v="9360"/>
    <n v="9.2136752136752129"/>
    <n v="86240"/>
    <x v="4"/>
    <d v="2016-10-29T00:00:00"/>
    <n v="21"/>
    <s v="TR7"/>
    <x v="7"/>
    <s v="GBR"/>
    <s v="Sunday"/>
    <n v="95600"/>
  </r>
  <r>
    <n v="108"/>
    <n v="98"/>
    <n v="1"/>
    <s v="3EDC8773-9603-4D38-9DC9-64E1C4768F7D"/>
    <n v="12500"/>
    <n v="2266.5966386554619"/>
    <n v="39"/>
    <x v="70"/>
    <n v="98"/>
    <s v="Alicia Almodovar"/>
    <s v="Palacia Del Sol"/>
    <s v="Barcelona"/>
    <s v="ES        "/>
    <x v="5"/>
    <x v="0"/>
    <n v="88"/>
    <n v="10000"/>
    <n v="500"/>
    <n v="750"/>
    <n v="150"/>
    <n v="12500"/>
    <n v="11400"/>
    <n v="9.6491228070175517E-2"/>
    <n v="1100"/>
    <x v="4"/>
    <d v="2016-10-29T00:00:00"/>
    <n v="21"/>
    <s v="TR6"/>
    <x v="7"/>
    <s v="GBR"/>
    <s v="Sunday"/>
    <n v="12500"/>
  </r>
  <r>
    <n v="109"/>
    <n v="99"/>
    <n v="1"/>
    <s v="9FF62C70-89E4-4815-912F-C5DFBF8BDF0F"/>
    <n v="12500"/>
    <n v="750"/>
    <n v="40"/>
    <x v="70"/>
    <n v="99"/>
    <s v="Ronaldo Bianco"/>
    <s v="Palazzo Medusa 2000"/>
    <s v="Milan"/>
    <s v="IT        "/>
    <x v="6"/>
    <x v="0"/>
    <n v="22"/>
    <n v="10000"/>
    <n v="500"/>
    <n v="750"/>
    <n v="150"/>
    <n v="12500"/>
    <n v="11400"/>
    <n v="9.6491228070175517E-2"/>
    <n v="1100"/>
    <x v="4"/>
    <d v="2016-10-29T00:00:00"/>
    <n v="4"/>
    <s v="DB4"/>
    <x v="2"/>
    <s v="GBR"/>
    <s v="Sunday"/>
    <n v="12500"/>
  </r>
  <r>
    <n v="110"/>
    <n v="100"/>
    <n v="1"/>
    <s v="EC25FA02-2692-42E1-85A0-71F0775C8F8A"/>
    <n v="56890"/>
    <n v="2450"/>
    <n v="3"/>
    <x v="71"/>
    <n v="100"/>
    <s v="Birmingham Executive Prestige Vehicles"/>
    <s v="96, Aardvark Avenue"/>
    <s v="Birmingham"/>
    <s v="GB        "/>
    <x v="0"/>
    <x v="0"/>
    <n v="23"/>
    <n v="45512"/>
    <n v="2000"/>
    <n v="750"/>
    <n v="550"/>
    <n v="56890"/>
    <n v="48812"/>
    <n v="0.16549209210849791"/>
    <n v="8078"/>
    <x v="7"/>
    <d v="2016-11-01T00:00:00"/>
    <n v="4"/>
    <s v="DB5"/>
    <x v="2"/>
    <s v="GBR"/>
    <s v="Thursday"/>
    <n v="56890"/>
  </r>
  <r>
    <n v="111"/>
    <n v="101"/>
    <n v="1"/>
    <s v="E368D03E-239C-499F-A41A-CC4D2AE1AFF8"/>
    <n v="55000"/>
    <n v="2450"/>
    <n v="12"/>
    <x v="72"/>
    <n v="101"/>
    <s v="Glittering Prize Cars Ltd"/>
    <s v="46, Golders Green Road"/>
    <s v="London"/>
    <s v="GB        "/>
    <x v="0"/>
    <x v="0"/>
    <n v="24"/>
    <n v="44000"/>
    <n v="660"/>
    <n v="500"/>
    <n v="550"/>
    <n v="55000"/>
    <n v="45710"/>
    <n v="0.2032378035440823"/>
    <n v="9290"/>
    <x v="7"/>
    <d v="2016-11-01T00:00:00"/>
    <n v="4"/>
    <s v="DB6"/>
    <x v="2"/>
    <s v="GBR"/>
    <s v="Friday"/>
    <n v="55000"/>
  </r>
  <r>
    <n v="112"/>
    <n v="102"/>
    <n v="1"/>
    <s v="4C1762AE-F7FD-4F2C-875B-CAC022B0DF63"/>
    <n v="9990"/>
    <n v="2266.5966386554619"/>
    <n v="26"/>
    <x v="73"/>
    <n v="102"/>
    <s v="Honest Pete Motors"/>
    <s v="76, Williams Street"/>
    <s v="Stoke"/>
    <s v="GB        "/>
    <x v="0"/>
    <x v="0"/>
    <n v="88"/>
    <n v="7992"/>
    <n v="500"/>
    <n v="750"/>
    <n v="150"/>
    <n v="191490"/>
    <n v="9392"/>
    <n v="19.38862862010221"/>
    <n v="182098"/>
    <x v="4"/>
    <d v="2016-11-11T00:00:00"/>
    <n v="21"/>
    <s v="TR6"/>
    <x v="7"/>
    <s v="GBR"/>
    <s v="Friday"/>
    <n v="191490"/>
  </r>
  <r>
    <n v="113"/>
    <n v="102"/>
    <n v="2"/>
    <s v="DB8869B2-1EC0-48D5-9DA6-FDF1665155F0"/>
    <n v="46500"/>
    <n v="2266.5966386554619"/>
    <n v="26"/>
    <x v="73"/>
    <n v="102"/>
    <s v="Honest Pete Motors"/>
    <s v="76, Williams Street"/>
    <s v="Stoke"/>
    <s v="GB        "/>
    <x v="0"/>
    <x v="0"/>
    <n v="25"/>
    <n v="37200"/>
    <n v="2000"/>
    <n v="750"/>
    <n v="550"/>
    <n v="191490"/>
    <n v="40500"/>
    <n v="3.728148148148148"/>
    <n v="150990"/>
    <x v="2"/>
    <d v="2016-11-11T00:00:00"/>
    <n v="4"/>
    <s v="DB9"/>
    <x v="2"/>
    <s v="GBR"/>
    <s v="Friday"/>
    <n v="191490"/>
  </r>
  <r>
    <n v="114"/>
    <n v="102"/>
    <n v="3"/>
    <s v="DD651733-FE5C-46B9-AC97-727F8CD170A6"/>
    <n v="9500"/>
    <n v="2266.5966386554619"/>
    <n v="26"/>
    <x v="73"/>
    <n v="102"/>
    <s v="Honest Pete Motors"/>
    <s v="76, Williams Street"/>
    <s v="Stoke"/>
    <s v="GB        "/>
    <x v="0"/>
    <x v="0"/>
    <n v="89"/>
    <n v="7600"/>
    <n v="500"/>
    <n v="750"/>
    <n v="150"/>
    <n v="191490"/>
    <n v="9000"/>
    <n v="20.276666666666671"/>
    <n v="182490"/>
    <x v="4"/>
    <d v="2016-11-11T00:00:00"/>
    <n v="21"/>
    <s v="TR7"/>
    <x v="7"/>
    <s v="GBR"/>
    <s v="Friday"/>
    <n v="191490"/>
  </r>
  <r>
    <n v="115"/>
    <n v="102"/>
    <n v="4"/>
    <s v="F810FAB0-6BAE-4AC0-BDBC-F14A71AC35B9"/>
    <n v="125500"/>
    <n v="2266.5966386554619"/>
    <n v="26"/>
    <x v="73"/>
    <n v="102"/>
    <s v="Honest Pete Motors"/>
    <s v="76, Williams Street"/>
    <s v="Stoke"/>
    <s v="GB        "/>
    <x v="0"/>
    <x v="0"/>
    <n v="26"/>
    <n v="100400"/>
    <n v="3950"/>
    <n v="1500"/>
    <n v="1950"/>
    <n v="191490"/>
    <n v="107800"/>
    <n v="0.77634508348794062"/>
    <n v="83690"/>
    <x v="0"/>
    <d v="2016-12-01T00:00:00"/>
    <n v="4"/>
    <s v="Virage"/>
    <x v="2"/>
    <s v="GBR"/>
    <s v="Friday"/>
    <n v="191490"/>
  </r>
  <r>
    <n v="116"/>
    <n v="103"/>
    <n v="1"/>
    <s v="3CF2C0F8-21E1-4ADE-AE72-AB9DFE3790DD"/>
    <n v="99500"/>
    <n v="5000"/>
    <n v="33"/>
    <x v="74"/>
    <n v="103"/>
    <s v="Prestissimo!"/>
    <s v="Via Appia 239"/>
    <s v="Milan"/>
    <s v="IT        "/>
    <x v="6"/>
    <x v="0"/>
    <n v="35"/>
    <n v="79600"/>
    <n v="1490"/>
    <n v="750"/>
    <n v="750"/>
    <n v="99500"/>
    <n v="82590"/>
    <n v="0.2047463373289744"/>
    <n v="16910"/>
    <x v="9"/>
    <d v="2016-12-01T00:00:00"/>
    <n v="6"/>
    <s v="Phantom"/>
    <x v="9"/>
    <s v="GBR"/>
    <s v="Tuesday"/>
    <n v="99500"/>
  </r>
  <r>
    <n v="117"/>
    <n v="104"/>
    <n v="1"/>
    <s v="A017241D-3A92-4EA7-A3EE-22FC119542F8"/>
    <n v="60500"/>
    <n v="2266.5966386554619"/>
    <n v="13"/>
    <x v="74"/>
    <n v="104"/>
    <s v="La Bagnole de Luxe"/>
    <s v="890 Place de la Concorde"/>
    <s v="Paris"/>
    <s v="FR        "/>
    <x v="2"/>
    <x v="0"/>
    <n v="36"/>
    <n v="48400"/>
    <n v="500"/>
    <n v="1500"/>
    <n v="550"/>
    <n v="60500"/>
    <n v="50950"/>
    <n v="0.18743866535819431"/>
    <n v="9550"/>
    <x v="3"/>
    <d v="2016-12-05T00:00:00"/>
    <n v="6"/>
    <s v="Ghost"/>
    <x v="9"/>
    <s v="GBR"/>
    <s v="Tuesday"/>
    <n v="60500"/>
  </r>
  <r>
    <n v="118"/>
    <n v="105"/>
    <n v="1"/>
    <s v="4537B83B-2444-4389-B2DE-F30E15608163"/>
    <n v="123500"/>
    <n v="5000"/>
    <n v="14"/>
    <x v="74"/>
    <n v="105"/>
    <s v="Convertible Dreams"/>
    <s v="31, Archbishop Ave"/>
    <s v="London"/>
    <s v="GB        "/>
    <x v="0"/>
    <x v="0"/>
    <n v="17"/>
    <n v="98800"/>
    <n v="2000"/>
    <n v="750"/>
    <n v="750"/>
    <n v="123500"/>
    <n v="102300"/>
    <n v="0.20723362658846531"/>
    <n v="21200"/>
    <x v="4"/>
    <d v="2016-12-05T00:00:00"/>
    <n v="3"/>
    <s v="Countach"/>
    <x v="8"/>
    <s v="ITA"/>
    <s v="Tuesday"/>
    <n v="123500"/>
  </r>
  <r>
    <n v="119"/>
    <n v="106"/>
    <n v="1"/>
    <s v="7CEA62B1-9CBE-4E13-BECC-54E7EED128EF"/>
    <n v="25000"/>
    <n v="2266.5966386554619"/>
    <n v="23"/>
    <x v="75"/>
    <n v="106"/>
    <s v="Glitz"/>
    <s v="FriedrichStrasse 579"/>
    <s v="Stuttgart"/>
    <s v="DE        "/>
    <x v="1"/>
    <x v="0"/>
    <n v="18"/>
    <n v="20000"/>
    <n v="1360"/>
    <n v="750"/>
    <n v="150"/>
    <n v="25000"/>
    <n v="22260"/>
    <n v="0.1230907457322552"/>
    <n v="2740"/>
    <x v="3"/>
    <d v="2016-12-07T00:00:00"/>
    <n v="3"/>
    <s v="Diabolo"/>
    <x v="8"/>
    <s v="ITA"/>
    <s v="Thursday"/>
    <n v="25000"/>
  </r>
  <r>
    <n v="120"/>
    <n v="107"/>
    <n v="1"/>
    <s v="102A734C-3212-4708-85A5-A96FE8E14641"/>
    <n v="169500"/>
    <n v="2266.5966386554619"/>
    <n v="28"/>
    <x v="76"/>
    <n v="107"/>
    <s v="Vive La Vitesse"/>
    <s v="56, Rue Noiratre"/>
    <s v="Marseille"/>
    <s v="FR        "/>
    <x v="2"/>
    <x v="0"/>
    <n v="18"/>
    <n v="135600"/>
    <n v="9250"/>
    <n v="1500"/>
    <n v="1950"/>
    <n v="169500"/>
    <n v="148300"/>
    <n v="0.14295347269049219"/>
    <n v="21200"/>
    <x v="2"/>
    <d v="2016-12-07T00:00:00"/>
    <n v="3"/>
    <s v="Diabolo"/>
    <x v="8"/>
    <s v="ITA"/>
    <s v="Tuesday"/>
    <n v="169500"/>
  </r>
  <r>
    <n v="121"/>
    <n v="108"/>
    <n v="1"/>
    <s v="9B8B87E1-7770-4136-8EB4-B7173C8783A6"/>
    <n v="99500"/>
    <n v="2266.5966386554619"/>
    <n v="29"/>
    <x v="77"/>
    <n v="108"/>
    <s v="Liverpool Executive Prestige Vehicles"/>
    <s v="8, Everton Avenue"/>
    <s v="Liverpool"/>
    <s v="GB        "/>
    <x v="0"/>
    <x v="0"/>
    <n v="34"/>
    <n v="79600"/>
    <n v="2175"/>
    <n v="750"/>
    <n v="750"/>
    <n v="99500"/>
    <n v="83275"/>
    <n v="0.19483638546982901"/>
    <n v="16225"/>
    <x v="4"/>
    <d v="2016-12-25T00:00:00"/>
    <n v="5"/>
    <s v="Brooklands"/>
    <x v="3"/>
    <s v="GBR"/>
    <s v="Wednesday"/>
    <n v="99500"/>
  </r>
  <r>
    <n v="122"/>
    <n v="109"/>
    <n v="1"/>
    <s v="C0E2E06D-AE60-4223-9E7C-B8387F2A4335"/>
    <n v="39500"/>
    <n v="2266.5966386554619"/>
    <n v="39"/>
    <x v="78"/>
    <n v="109"/>
    <s v="Alicia Almodovar"/>
    <s v="Palacia Del Sol"/>
    <s v="Barcelona"/>
    <s v="ES        "/>
    <x v="5"/>
    <x v="0"/>
    <n v="14"/>
    <n v="31600"/>
    <n v="500"/>
    <n v="500"/>
    <n v="550"/>
    <n v="39500"/>
    <n v="33150"/>
    <n v="0.19155354449472101"/>
    <n v="6350"/>
    <x v="5"/>
    <d v="2016-12-30T00:00:00"/>
    <n v="2"/>
    <s v="959"/>
    <x v="1"/>
    <s v="GER"/>
    <s v="Saturday"/>
    <n v="39500"/>
  </r>
  <r>
    <n v="123"/>
    <n v="110"/>
    <n v="1"/>
    <s v="3EEC687A-759C-4D8A-8776-E257E8230376"/>
    <n v="22500"/>
    <n v="2266.5966386554619"/>
    <n v="28"/>
    <x v="79"/>
    <n v="110"/>
    <s v="Vive La Vitesse"/>
    <s v="56, Rue Noiratre"/>
    <s v="Marseille"/>
    <s v="FR        "/>
    <x v="2"/>
    <x v="0"/>
    <n v="16"/>
    <n v="18000"/>
    <n v="1360"/>
    <n v="750"/>
    <n v="150"/>
    <n v="22500"/>
    <n v="20260"/>
    <n v="0.11056268509378089"/>
    <n v="2240"/>
    <x v="8"/>
    <d v="2016-12-31T00:00:00"/>
    <n v="2"/>
    <s v="Boxster"/>
    <x v="1"/>
    <s v="GER"/>
    <s v="Sunday"/>
    <n v="22500"/>
  </r>
  <r>
    <n v="124"/>
    <n v="111"/>
    <n v="1"/>
    <s v="09FA3947-726D-4987-B9DD-2F4CF7CD7C45"/>
    <n v="125000"/>
    <n v="2266.5966386554619"/>
    <n v="27"/>
    <x v="80"/>
    <n v="111"/>
    <s v="Peter Smith"/>
    <s v="82, Ell Pie Lane"/>
    <s v="Birmingham"/>
    <s v="GB        "/>
    <x v="0"/>
    <x v="0"/>
    <n v="26"/>
    <n v="100000"/>
    <n v="500"/>
    <n v="1500"/>
    <n v="750"/>
    <n v="125000"/>
    <n v="102750"/>
    <n v="0.21654501216545019"/>
    <n v="22250"/>
    <x v="6"/>
    <d v="2016-12-31T00:00:00"/>
    <n v="4"/>
    <s v="Virage"/>
    <x v="2"/>
    <s v="GBR"/>
    <s v="Thursday"/>
    <n v="125000"/>
  </r>
  <r>
    <n v="125"/>
    <n v="112"/>
    <n v="1"/>
    <s v="52CE8210-53B8-4C09-B821-6389A09733C5"/>
    <n v="85000"/>
    <n v="2266.5966386554619"/>
    <n v="7"/>
    <x v="81"/>
    <n v="112"/>
    <s v="Eat My Exhaust Ltd"/>
    <s v="29, Kop Hill"/>
    <s v="Liverpool"/>
    <s v="GB        "/>
    <x v="0"/>
    <x v="0"/>
    <n v="38"/>
    <n v="68000"/>
    <n v="1490"/>
    <n v="1500"/>
    <n v="750"/>
    <n v="85000"/>
    <n v="71740"/>
    <n v="0.18483412322274881"/>
    <n v="13260"/>
    <x v="4"/>
    <d v="2016-12-31T00:00:00"/>
    <n v="6"/>
    <s v="Silver Shadow"/>
    <x v="9"/>
    <s v="GBR"/>
    <s v="Tuesday"/>
    <n v="85000"/>
  </r>
  <r>
    <n v="126"/>
    <n v="113"/>
    <n v="1"/>
    <s v="DE44149E-1225-4B7C-97E5-8089A4F21C1C"/>
    <n v="1250"/>
    <n v="2266.5966386554619"/>
    <n v="13"/>
    <x v="82"/>
    <n v="113"/>
    <s v="La Bagnole de Luxe"/>
    <s v="890 Place de la Concorde"/>
    <s v="Paris"/>
    <s v="FR        "/>
    <x v="2"/>
    <x v="0"/>
    <n v="99"/>
    <n v="1000"/>
    <n v="500"/>
    <n v="750"/>
    <n v="150"/>
    <n v="1250"/>
    <n v="2400"/>
    <n v="-0.47916666666666657"/>
    <n v="-1150"/>
    <x v="7"/>
    <d v="2017-01-02T00:00:00"/>
    <n v="23"/>
    <s v="203"/>
    <x v="10"/>
    <s v="GER"/>
    <s v="Saturday"/>
    <n v="1250"/>
  </r>
  <r>
    <n v="127"/>
    <n v="114"/>
    <n v="1"/>
    <s v="CF9A23D7-6F8A-4CA6-A037-95EA7385B539"/>
    <n v="22500"/>
    <n v="2266.5966386554619"/>
    <n v="6"/>
    <x v="83"/>
    <n v="114"/>
    <s v="Le Luxe en Motion"/>
    <s v="Avenue des Indes, 26"/>
    <s v="Geneva"/>
    <s v="CH        "/>
    <x v="4"/>
    <x v="0"/>
    <n v="45"/>
    <n v="18000"/>
    <n v="500"/>
    <n v="750"/>
    <n v="150"/>
    <n v="22500"/>
    <n v="19400"/>
    <n v="0.15979381443298979"/>
    <n v="3100"/>
    <x v="7"/>
    <d v="2017-01-02T00:00:00"/>
    <n v="8"/>
    <s v="280SL"/>
    <x v="4"/>
    <s v="GER"/>
    <s v="Wednesday"/>
    <n v="22500"/>
  </r>
  <r>
    <n v="128"/>
    <n v="115"/>
    <n v="1"/>
    <s v="98299E86-0B98-42D8-A549-37D89435B4E3"/>
    <n v="125950"/>
    <n v="12500"/>
    <n v="1"/>
    <x v="84"/>
    <n v="115"/>
    <s v="Magic Motors"/>
    <s v="27, Handsworth Road"/>
    <s v="Birmingham"/>
    <s v="GB        "/>
    <x v="0"/>
    <x v="0"/>
    <n v="3"/>
    <n v="100760"/>
    <n v="9250"/>
    <n v="2200"/>
    <n v="1950"/>
    <n v="125950"/>
    <n v="114160"/>
    <n v="0.10327610371408549"/>
    <n v="11790"/>
    <x v="4"/>
    <d v="2017-01-02T00:00:00"/>
    <n v="1"/>
    <s v="355"/>
    <x v="0"/>
    <s v="ITA"/>
    <s v="Thursday"/>
    <n v="125950"/>
  </r>
  <r>
    <n v="129"/>
    <n v="116"/>
    <n v="1"/>
    <s v="DD8D9340-29B0-4E0D-89B3-BD33B70E087D"/>
    <n v="8850"/>
    <n v="2266.5966386554619"/>
    <n v="6"/>
    <x v="85"/>
    <n v="116"/>
    <s v="Le Luxe en Motion"/>
    <s v="Avenue des Indes, 26"/>
    <s v="Geneva"/>
    <s v="CH        "/>
    <x v="4"/>
    <x v="0"/>
    <n v="89"/>
    <n v="7080"/>
    <n v="500"/>
    <n v="750"/>
    <n v="150"/>
    <n v="8850"/>
    <n v="8480"/>
    <n v="4.3632075471698117E-2"/>
    <n v="370"/>
    <x v="4"/>
    <d v="2017-01-02T00:00:00"/>
    <n v="21"/>
    <s v="TR7"/>
    <x v="7"/>
    <s v="GBR"/>
    <s v="Friday"/>
    <n v="8850"/>
  </r>
  <r>
    <n v="130"/>
    <n v="117"/>
    <n v="1"/>
    <s v="BBDFB7CF-FBA6-4463-BC1E-FE79522431EE"/>
    <n v="9950"/>
    <n v="2266.5966386554619"/>
    <n v="19"/>
    <x v="86"/>
    <n v="117"/>
    <s v="Posh Vehicles Ltd"/>
    <s v="82, Millar Close"/>
    <s v="Manchester"/>
    <s v="GB        "/>
    <x v="0"/>
    <x v="0"/>
    <n v="87"/>
    <n v="7960"/>
    <n v="500"/>
    <n v="750"/>
    <n v="150"/>
    <n v="9950"/>
    <n v="9360"/>
    <n v="6.3034188034188032E-2"/>
    <n v="590"/>
    <x v="8"/>
    <d v="2017-01-02T00:00:00"/>
    <n v="21"/>
    <s v="TR5"/>
    <x v="7"/>
    <s v="GBR"/>
    <s v="Saturday"/>
    <n v="9950"/>
  </r>
  <r>
    <n v="131"/>
    <n v="118"/>
    <n v="1"/>
    <s v="47077B33-09BC-4FF2-B71B-58E243952BAA"/>
    <n v="56500"/>
    <n v="2450"/>
    <n v="28"/>
    <x v="87"/>
    <n v="118"/>
    <s v="Vive La Vitesse"/>
    <s v="56, Rue Noiratre"/>
    <s v="Marseille"/>
    <s v="FR        "/>
    <x v="2"/>
    <x v="0"/>
    <n v="28"/>
    <n v="45200"/>
    <n v="500"/>
    <n v="750"/>
    <n v="550"/>
    <n v="56500"/>
    <n v="47000"/>
    <n v="0.2021276595744681"/>
    <n v="9500"/>
    <x v="4"/>
    <d v="2017-01-20T00:00:00"/>
    <n v="4"/>
    <s v="Vanquish"/>
    <x v="2"/>
    <s v="GBR"/>
    <s v="Monday"/>
    <n v="56500"/>
  </r>
  <r>
    <n v="132"/>
    <n v="119"/>
    <n v="1"/>
    <s v="A48E5430-ACA4-41FD-BC6F-446BE2B46DF8"/>
    <n v="55000"/>
    <n v="2266.5966386554619"/>
    <n v="37"/>
    <x v="88"/>
    <n v="119"/>
    <s v="Screamin' Wheels"/>
    <s v="4, Churchill Close"/>
    <s v="London"/>
    <s v="GB        "/>
    <x v="0"/>
    <x v="0"/>
    <n v="29"/>
    <n v="44000"/>
    <n v="500"/>
    <n v="750"/>
    <n v="550"/>
    <n v="55000"/>
    <n v="45800"/>
    <n v="0.2008733624454149"/>
    <n v="9200"/>
    <x v="4"/>
    <d v="2017-01-21T00:00:00"/>
    <n v="4"/>
    <s v="Rapide"/>
    <x v="2"/>
    <s v="GBR"/>
    <s v="Tuesday"/>
    <n v="55000"/>
  </r>
  <r>
    <n v="133"/>
    <n v="120"/>
    <n v="1"/>
    <s v="E869D5E4-CAC0-48ED-8961-03D0405EA2FD"/>
    <n v="56950"/>
    <n v="750"/>
    <n v="26"/>
    <x v="89"/>
    <n v="120"/>
    <s v="Honest Pete Motors"/>
    <s v="76, Williams Street"/>
    <s v="Stoke"/>
    <s v="GB        "/>
    <x v="0"/>
    <x v="0"/>
    <n v="28"/>
    <n v="45560"/>
    <n v="1360"/>
    <n v="750"/>
    <n v="550"/>
    <n v="56950"/>
    <n v="48220"/>
    <n v="0.181045209456657"/>
    <n v="8730"/>
    <x v="3"/>
    <d v="2017-01-25T00:00:00"/>
    <n v="4"/>
    <s v="Vanquish"/>
    <x v="2"/>
    <s v="GBR"/>
    <s v="Tuesday"/>
    <n v="56950"/>
  </r>
  <r>
    <n v="134"/>
    <n v="121"/>
    <n v="1"/>
    <s v="74DD8FE1-B205-4400-A951-1E54E7C22E40"/>
    <n v="365000"/>
    <n v="2266.5966386554619"/>
    <n v="28"/>
    <x v="90"/>
    <n v="121"/>
    <s v="Vive La Vitesse"/>
    <s v="56, Rue Noiratre"/>
    <s v="Marseille"/>
    <s v="FR        "/>
    <x v="2"/>
    <x v="0"/>
    <n v="10"/>
    <n v="292000"/>
    <n v="3950"/>
    <n v="750"/>
    <n v="1950"/>
    <n v="365000"/>
    <n v="298650"/>
    <n v="0.2221664155365812"/>
    <n v="66350"/>
    <x v="4"/>
    <d v="2017-02-01T00:00:00"/>
    <n v="1"/>
    <s v="Enzo"/>
    <x v="0"/>
    <s v="ITA"/>
    <s v="Tuesday"/>
    <n v="365000"/>
  </r>
  <r>
    <n v="135"/>
    <n v="122"/>
    <n v="1"/>
    <s v="7392B5F6-783C-4D4B-B687-74A98411A7CB"/>
    <n v="395000"/>
    <n v="2266.5966386554619"/>
    <n v="35"/>
    <x v="91"/>
    <n v="122"/>
    <s v="Laurent Saint Yves"/>
    <s v="49, Rue Quicampoix"/>
    <s v="Marseille"/>
    <s v="FR        "/>
    <x v="2"/>
    <x v="0"/>
    <n v="10"/>
    <n v="316000"/>
    <n v="9250"/>
    <n v="2200"/>
    <n v="1950"/>
    <n v="395000"/>
    <n v="329400"/>
    <n v="0.19914996964177289"/>
    <n v="65600"/>
    <x v="2"/>
    <d v="2017-02-03T00:00:00"/>
    <n v="1"/>
    <s v="Enzo"/>
    <x v="0"/>
    <s v="ITA"/>
    <s v="Wednesday"/>
    <n v="395000"/>
  </r>
  <r>
    <n v="136"/>
    <n v="123"/>
    <n v="1"/>
    <s v="01B087C6-00D1-40B2-808F-B4B5BC1E344D"/>
    <n v="21500"/>
    <n v="2266.5966386554619"/>
    <n v="36"/>
    <x v="92"/>
    <n v="123"/>
    <s v="Screamin' Wheels"/>
    <s v="1090 Reagan Road"/>
    <s v="Los Angeles"/>
    <s v="US        "/>
    <x v="3"/>
    <x v="1"/>
    <n v="54"/>
    <n v="17200"/>
    <n v="500"/>
    <n v="500"/>
    <n v="150"/>
    <n v="21500"/>
    <n v="18350"/>
    <n v="0.17166212534059941"/>
    <n v="3150"/>
    <x v="9"/>
    <d v="2017-02-04T00:00:00"/>
    <n v="9"/>
    <s v="Giulietta"/>
    <x v="5"/>
    <s v="ITA"/>
    <s v="Thursday"/>
    <n v="21500"/>
  </r>
  <r>
    <n v="137"/>
    <n v="124"/>
    <n v="1"/>
    <s v="11BCE306-33ED-4C8D-9198-2A4B653D9F8A"/>
    <n v="6500"/>
    <n v="2266.5966386554619"/>
    <n v="37"/>
    <x v="93"/>
    <n v="124"/>
    <s v="Screamin' Wheels"/>
    <s v="4, Churchill Close"/>
    <s v="London"/>
    <s v="GB        "/>
    <x v="0"/>
    <x v="0"/>
    <n v="55"/>
    <n v="5200"/>
    <n v="500"/>
    <n v="750"/>
    <n v="150"/>
    <n v="6500"/>
    <n v="6600"/>
    <n v="-1.515151515151514E-2"/>
    <n v="-100"/>
    <x v="8"/>
    <d v="2017-02-05T00:00:00"/>
    <n v="10"/>
    <s v="Lichfield"/>
    <x v="11"/>
    <s v="GBR"/>
    <s v="Friday"/>
    <n v="6500"/>
  </r>
  <r>
    <n v="138"/>
    <n v="125"/>
    <n v="1"/>
    <s v="6943ADF3-01A4-4281-B0CE-93384FE60418"/>
    <n v="12500"/>
    <n v="750"/>
    <n v="34"/>
    <x v="94"/>
    <n v="125"/>
    <s v="Diplomatic Cars"/>
    <s v="Rue Des Coteaux, 39"/>
    <s v="Brussels"/>
    <s v="BE        "/>
    <x v="7"/>
    <x v="0"/>
    <n v="88"/>
    <n v="10000"/>
    <n v="500"/>
    <n v="750"/>
    <n v="150"/>
    <n v="12500"/>
    <n v="11400"/>
    <n v="9.6491228070175517E-2"/>
    <n v="1100"/>
    <x v="0"/>
    <d v="2016-10-01T00:00:00"/>
    <n v="21"/>
    <s v="TR6"/>
    <x v="7"/>
    <s v="GBR"/>
    <s v="Sunday"/>
    <n v="12500"/>
  </r>
  <r>
    <n v="139"/>
    <n v="126"/>
    <n v="1"/>
    <s v="A08FCF25-5B27-4215-BF50-E94D0F7C8CD6"/>
    <n v="2250"/>
    <n v="2266.5966386554619"/>
    <n v="1"/>
    <x v="95"/>
    <n v="126"/>
    <s v="Magic Motors"/>
    <s v="27, Handsworth Road"/>
    <s v="Birmingham"/>
    <s v="GB        "/>
    <x v="0"/>
    <x v="0"/>
    <n v="56"/>
    <n v="1800"/>
    <n v="500"/>
    <n v="750"/>
    <n v="150"/>
    <n v="2250"/>
    <n v="3200"/>
    <n v="-0.296875"/>
    <n v="-950"/>
    <x v="5"/>
    <d v="2017-02-05T00:00:00"/>
    <n v="10"/>
    <s v="Princess"/>
    <x v="11"/>
    <s v="GBR"/>
    <s v="Tuesday"/>
    <n v="2250"/>
  </r>
  <r>
    <n v="140"/>
    <n v="127"/>
    <n v="1"/>
    <s v="8F100F91-FE3C-4338-AA52-7BF61A540199"/>
    <n v="3500"/>
    <n v="2266.5966386554619"/>
    <n v="11"/>
    <x v="96"/>
    <n v="127"/>
    <s v="London Executive Prestige Vehicles"/>
    <s v="199, Park Lane"/>
    <s v="London"/>
    <s v="GB        "/>
    <x v="0"/>
    <x v="0"/>
    <n v="98"/>
    <n v="2800"/>
    <n v="500"/>
    <n v="750"/>
    <n v="150"/>
    <n v="3500"/>
    <n v="4200"/>
    <n v="-0.1666666666666666"/>
    <n v="-700"/>
    <x v="1"/>
    <d v="2017-02-28T00:00:00"/>
    <n v="23"/>
    <s v="404"/>
    <x v="10"/>
    <s v="GER"/>
    <s v="Sunday"/>
    <n v="3500"/>
  </r>
  <r>
    <n v="141"/>
    <n v="128"/>
    <n v="1"/>
    <s v="84BE4607-F8D7-49DA-8C27-D87FE529DF96"/>
    <n v="5680"/>
    <n v="750"/>
    <n v="12"/>
    <x v="97"/>
    <n v="128"/>
    <s v="Glittering Prize Cars Ltd"/>
    <s v="46, Golders Green Road"/>
    <s v="London"/>
    <s v="GB        "/>
    <x v="0"/>
    <x v="0"/>
    <n v="89"/>
    <n v="4544"/>
    <n v="500"/>
    <n v="750"/>
    <n v="150"/>
    <n v="5680"/>
    <n v="5944"/>
    <n v="-4.4414535666218002E-2"/>
    <n v="-264"/>
    <x v="1"/>
    <d v="2017-02-28T00:00:00"/>
    <n v="21"/>
    <s v="TR7"/>
    <x v="7"/>
    <s v="GBR"/>
    <s v="Sunday"/>
    <n v="5680"/>
  </r>
  <r>
    <n v="142"/>
    <n v="129"/>
    <n v="1"/>
    <s v="EB59DB36-5E67-4AF1-AE8A-46E8999EEF45"/>
    <n v="8550"/>
    <n v="2266.5966386554619"/>
    <n v="16"/>
    <x v="98"/>
    <n v="129"/>
    <s v="SuperSport S.A.R.L."/>
    <s v="210 Place de la Republique"/>
    <s v="Paris"/>
    <s v="FR        "/>
    <x v="2"/>
    <x v="0"/>
    <n v="87"/>
    <n v="6840"/>
    <n v="500"/>
    <n v="750"/>
    <n v="150"/>
    <n v="8550"/>
    <n v="8240"/>
    <n v="3.762135922330101E-2"/>
    <n v="310"/>
    <x v="4"/>
    <d v="2017-02-28T00:00:00"/>
    <n v="21"/>
    <s v="TR5"/>
    <x v="7"/>
    <s v="GBR"/>
    <s v="Sunday"/>
    <n v="8550"/>
  </r>
  <r>
    <n v="143"/>
    <n v="130"/>
    <n v="1"/>
    <s v="7372D1C7-800F-4DE4-B3BC-FFA46CE77099"/>
    <n v="156500"/>
    <n v="10000"/>
    <n v="26"/>
    <x v="99"/>
    <n v="130"/>
    <s v="Honest Pete Motors"/>
    <s v="76, Williams Street"/>
    <s v="Stoke"/>
    <s v="GB        "/>
    <x v="0"/>
    <x v="0"/>
    <n v="78"/>
    <n v="125200"/>
    <n v="2000"/>
    <n v="1500"/>
    <n v="1950"/>
    <n v="156500"/>
    <n v="130650"/>
    <n v="0.19785686949866041"/>
    <n v="25850"/>
    <x v="1"/>
    <d v="2017-03-08T00:00:00"/>
    <n v="17"/>
    <s v="V12"/>
    <x v="12"/>
    <s v="ITA"/>
    <s v="Friday"/>
    <n v="156500"/>
  </r>
  <r>
    <n v="144"/>
    <n v="131"/>
    <n v="1"/>
    <s v="E267042F-449B-4CA9-8BDE-5C197DC8A647"/>
    <n v="56500"/>
    <n v="2266.5966386554619"/>
    <n v="25"/>
    <x v="100"/>
    <n v="131"/>
    <s v="King Leer Cars"/>
    <s v="87, Lindisfarne Road"/>
    <s v="Newcastle"/>
    <s v="GB        "/>
    <x v="0"/>
    <x v="0"/>
    <n v="25"/>
    <n v="45200"/>
    <n v="660"/>
    <n v="750"/>
    <n v="550"/>
    <n v="56500"/>
    <n v="47160"/>
    <n v="0.19804919423240031"/>
    <n v="9340"/>
    <x v="7"/>
    <d v="2017-03-08T00:00:00"/>
    <n v="4"/>
    <s v="DB9"/>
    <x v="2"/>
    <s v="GBR"/>
    <s v="Friday"/>
    <n v="56500"/>
  </r>
  <r>
    <n v="145"/>
    <n v="132"/>
    <n v="1"/>
    <s v="2C377634-90F1-4BC1-A366-0F0EBD26910D"/>
    <n v="86500"/>
    <n v="1250"/>
    <n v="34"/>
    <x v="101"/>
    <n v="132"/>
    <s v="Diplomatic Cars"/>
    <s v="Rue Des Coteaux, 39"/>
    <s v="Brussels"/>
    <s v="BE        "/>
    <x v="7"/>
    <x v="0"/>
    <n v="29"/>
    <n v="69200"/>
    <n v="2000"/>
    <n v="1500"/>
    <n v="750"/>
    <n v="86500"/>
    <n v="73450"/>
    <n v="0.17767188563648739"/>
    <n v="13050"/>
    <x v="7"/>
    <d v="2017-03-08T00:00:00"/>
    <n v="4"/>
    <s v="Rapide"/>
    <x v="2"/>
    <s v="GBR"/>
    <s v="Sunday"/>
    <n v="86500"/>
  </r>
  <r>
    <n v="146"/>
    <n v="133"/>
    <n v="1"/>
    <s v="49D19AE8-FBBF-496C-BC1E-9450544DD193"/>
    <n v="66500"/>
    <n v="2266.5966386554619"/>
    <n v="1"/>
    <x v="102"/>
    <n v="133"/>
    <s v="Magic Motors"/>
    <s v="27, Handsworth Road"/>
    <s v="Birmingham"/>
    <s v="GB        "/>
    <x v="0"/>
    <x v="0"/>
    <n v="27"/>
    <n v="53200"/>
    <n v="2175"/>
    <n v="1500"/>
    <n v="750"/>
    <n v="66500"/>
    <n v="57625"/>
    <n v="0.15401301518438171"/>
    <n v="8875"/>
    <x v="4"/>
    <d v="2017-03-08T00:00:00"/>
    <n v="4"/>
    <s v="Vantage"/>
    <x v="2"/>
    <s v="GBR"/>
    <s v="Sunday"/>
    <n v="66500"/>
  </r>
  <r>
    <n v="147"/>
    <n v="134"/>
    <n v="1"/>
    <s v="0B3AEBF5-0997-447D-B0E8-B399B7343742"/>
    <n v="55600"/>
    <n v="2266.5966386554619"/>
    <n v="5"/>
    <x v="103"/>
    <n v="134"/>
    <s v="Casseroles Chromes"/>
    <s v="29, Rue Gigondas"/>
    <s v="Lyon"/>
    <s v="FR        "/>
    <x v="2"/>
    <x v="0"/>
    <n v="14"/>
    <n v="44480"/>
    <n v="660"/>
    <n v="750"/>
    <n v="550"/>
    <n v="55600"/>
    <n v="46440"/>
    <n v="0.1972437553832902"/>
    <n v="9160"/>
    <x v="6"/>
    <d v="2017-03-12T00:00:00"/>
    <n v="2"/>
    <s v="959"/>
    <x v="1"/>
    <s v="GER"/>
    <s v="Saturday"/>
    <n v="55600"/>
  </r>
  <r>
    <n v="148"/>
    <n v="135"/>
    <n v="1"/>
    <s v="643800B3-AD63-4B67-8ACF-672B91F04C57"/>
    <n v="305000"/>
    <n v="2266.5966386554619"/>
    <n v="23"/>
    <x v="104"/>
    <n v="135"/>
    <s v="Glitz"/>
    <s v="FriedrichStrasse 579"/>
    <s v="Stuttgart"/>
    <s v="DE        "/>
    <x v="1"/>
    <x v="0"/>
    <n v="19"/>
    <n v="244000"/>
    <n v="3950"/>
    <n v="3150"/>
    <n v="1950"/>
    <n v="305000"/>
    <n v="253050"/>
    <n v="0.2052953961667654"/>
    <n v="51950"/>
    <x v="6"/>
    <d v="2017-03-12T00:00:00"/>
    <n v="3"/>
    <s v="Jarama"/>
    <x v="8"/>
    <s v="ITA"/>
    <s v="Thursday"/>
    <n v="305000"/>
  </r>
  <r>
    <n v="149"/>
    <n v="136"/>
    <n v="1"/>
    <s v="EDCCE461-5DA8-4E2E-8F08-798431841575"/>
    <n v="45000"/>
    <n v="2266.5966386554619"/>
    <n v="28"/>
    <x v="105"/>
    <n v="136"/>
    <s v="Vive La Vitesse"/>
    <s v="56, Rue Noiratre"/>
    <s v="Marseille"/>
    <s v="FR        "/>
    <x v="2"/>
    <x v="0"/>
    <n v="24"/>
    <n v="36000"/>
    <n v="1250"/>
    <n v="750"/>
    <n v="550"/>
    <n v="45000"/>
    <n v="38550"/>
    <n v="0.16731517509727631"/>
    <n v="6450"/>
    <x v="3"/>
    <d v="2015-04-30T00:00:00"/>
    <n v="4"/>
    <s v="DB6"/>
    <x v="2"/>
    <s v="GBR"/>
    <s v="Friday"/>
    <n v="45000"/>
  </r>
  <r>
    <n v="150"/>
    <n v="137"/>
    <n v="1"/>
    <s v="7F08368D-B6EA-4DFC-A1EC-B1A1B0221F04"/>
    <n v="225000"/>
    <n v="2266.5966386554619"/>
    <n v="29"/>
    <x v="106"/>
    <n v="137"/>
    <s v="Liverpool Executive Prestige Vehicles"/>
    <s v="8, Everton Avenue"/>
    <s v="Liverpool"/>
    <s v="GB        "/>
    <x v="0"/>
    <x v="0"/>
    <n v="24"/>
    <n v="180000"/>
    <n v="5500"/>
    <n v="3150"/>
    <n v="1950"/>
    <n v="225000"/>
    <n v="190600"/>
    <n v="0.18048268625393499"/>
    <n v="34400"/>
    <x v="4"/>
    <d v="2016-07-25T00:00:00"/>
    <n v="4"/>
    <s v="DB6"/>
    <x v="2"/>
    <s v="GBR"/>
    <s v="Friday"/>
    <n v="225000"/>
  </r>
  <r>
    <n v="151"/>
    <n v="138"/>
    <n v="1"/>
    <s v="0588AA57-B6B5-47F5-910F-5A1099B0476D"/>
    <n v="42950"/>
    <n v="2266.5966386554619"/>
    <n v="37"/>
    <x v="107"/>
    <n v="138"/>
    <s v="Screamin' Wheels"/>
    <s v="4, Churchill Close"/>
    <s v="London"/>
    <s v="GB        "/>
    <x v="0"/>
    <x v="0"/>
    <n v="23"/>
    <n v="34360"/>
    <n v="970"/>
    <n v="750"/>
    <n v="550"/>
    <n v="42950"/>
    <n v="36630"/>
    <n v="0.17253617253617251"/>
    <n v="6320"/>
    <x v="3"/>
    <d v="2017-03-29T00:00:00"/>
    <n v="4"/>
    <s v="DB5"/>
    <x v="2"/>
    <s v="GBR"/>
    <s v="Friday"/>
    <n v="42950"/>
  </r>
  <r>
    <n v="152"/>
    <n v="139"/>
    <n v="1"/>
    <s v="32C41EC9-CB3C-4D0F-9C85-2500CE2E4813"/>
    <n v="990"/>
    <n v="2266.5966386554619"/>
    <n v="31"/>
    <x v="108"/>
    <n v="139"/>
    <s v="Kieran O'Harris"/>
    <s v="71, Askwith Ave"/>
    <s v="Liverpool"/>
    <s v="GB        "/>
    <x v="0"/>
    <x v="0"/>
    <n v="65"/>
    <n v="792"/>
    <n v="500"/>
    <n v="150"/>
    <n v="150"/>
    <n v="990"/>
    <n v="1592"/>
    <n v="-0.37814070351758799"/>
    <n v="-602"/>
    <x v="2"/>
    <d v="2017-03-30T00:00:00"/>
    <n v="13"/>
    <s v="Rosalie"/>
    <x v="13"/>
    <s v="FRA"/>
    <s v="Friday"/>
    <n v="990"/>
  </r>
  <r>
    <n v="153"/>
    <n v="140"/>
    <n v="1"/>
    <s v="1909CD9B-9C06-4CFB-B8AD-292967E55E2F"/>
    <n v="29500"/>
    <n v="1500"/>
    <n v="32"/>
    <x v="109"/>
    <n v="140"/>
    <s v="Prestige Imports"/>
    <s v="Gran Via 26"/>
    <s v="Barcelona"/>
    <s v="ES        "/>
    <x v="5"/>
    <x v="0"/>
    <n v="68"/>
    <n v="23600"/>
    <n v="970"/>
    <n v="750"/>
    <n v="150"/>
    <n v="29500"/>
    <n v="25470"/>
    <n v="0.15822536317235961"/>
    <n v="4030"/>
    <x v="4"/>
    <d v="2017-04-01T00:00:00"/>
    <n v="14"/>
    <s v="145"/>
    <x v="14"/>
    <s v="FRA"/>
    <s v="Wednesday"/>
    <n v="29500"/>
  </r>
  <r>
    <n v="154"/>
    <n v="141"/>
    <n v="1"/>
    <s v="1B77D0BA-45C9-4C76-952E-B2FA2859B7AB"/>
    <n v="139500"/>
    <n v="2266.5966386554619"/>
    <n v="35"/>
    <x v="110"/>
    <n v="141"/>
    <s v="Laurent Saint Yves"/>
    <s v="49, Rue Quicampoix"/>
    <s v="Marseille"/>
    <s v="FR        "/>
    <x v="2"/>
    <x v="0"/>
    <n v="41"/>
    <n v="111600"/>
    <n v="9250"/>
    <n v="2200"/>
    <n v="1950"/>
    <n v="139500"/>
    <n v="125000"/>
    <n v="0.1160000000000001"/>
    <n v="14500"/>
    <x v="2"/>
    <d v="2017-04-01T00:00:00"/>
    <n v="6"/>
    <s v="Silver Seraph"/>
    <x v="9"/>
    <s v="GBR"/>
    <s v="Thursday"/>
    <n v="139500"/>
  </r>
  <r>
    <n v="155"/>
    <n v="142"/>
    <n v="1"/>
    <s v="CD06C0DF-D3A2-4593-BF40-7DAE6B73F58C"/>
    <n v="295000"/>
    <n v="2266.5966386554619"/>
    <n v="26"/>
    <x v="111"/>
    <n v="142"/>
    <s v="Honest Pete Motors"/>
    <s v="76, Williams Street"/>
    <s v="Stoke"/>
    <s v="GB        "/>
    <x v="0"/>
    <x v="0"/>
    <n v="63"/>
    <n v="236000"/>
    <n v="5500"/>
    <n v="750"/>
    <n v="1950"/>
    <n v="295000"/>
    <n v="244200"/>
    <n v="0.20802620802620811"/>
    <n v="50800"/>
    <x v="4"/>
    <d v="2017-04-01T00:00:00"/>
    <n v="12"/>
    <s v="57C"/>
    <x v="15"/>
    <s v="FRA"/>
    <s v="Friday"/>
    <n v="295000"/>
  </r>
  <r>
    <n v="156"/>
    <n v="143"/>
    <n v="1"/>
    <s v="08B3555E-47A2-4365-AED8-2DF054FF73E2"/>
    <n v="220500"/>
    <n v="2266.5966386554619"/>
    <n v="28"/>
    <x v="111"/>
    <n v="143"/>
    <s v="Vive La Vitesse"/>
    <s v="56, Rue Noiratre"/>
    <s v="Marseille"/>
    <s v="FR        "/>
    <x v="2"/>
    <x v="0"/>
    <n v="62"/>
    <n v="176400"/>
    <n v="9250"/>
    <n v="2200"/>
    <n v="1950"/>
    <n v="220500"/>
    <n v="189800"/>
    <n v="0.16174920969441511"/>
    <n v="30700"/>
    <x v="0"/>
    <d v="2017-04-05T00:00:00"/>
    <n v="12"/>
    <s v="Veyron"/>
    <x v="15"/>
    <s v="FRA"/>
    <s v="Friday"/>
    <n v="220500"/>
  </r>
  <r>
    <n v="157"/>
    <n v="144"/>
    <n v="1"/>
    <s v="C1A812F1-5FA1-48BA-8787-16F2F0A704BC"/>
    <n v="79500"/>
    <n v="1500"/>
    <n v="29"/>
    <x v="112"/>
    <n v="144"/>
    <s v="Liverpool Executive Prestige Vehicles"/>
    <s v="8, Everton Avenue"/>
    <s v="Liverpool"/>
    <s v="GB        "/>
    <x v="0"/>
    <x v="0"/>
    <n v="35"/>
    <n v="63600"/>
    <n v="500"/>
    <n v="750"/>
    <n v="750"/>
    <n v="79500"/>
    <n v="65600"/>
    <n v="0.21189024390243899"/>
    <n v="13900"/>
    <x v="0"/>
    <d v="2017-04-30T00:00:00"/>
    <n v="6"/>
    <s v="Phantom"/>
    <x v="9"/>
    <s v="GBR"/>
    <s v="Monday"/>
    <n v="79500"/>
  </r>
  <r>
    <n v="158"/>
    <n v="145"/>
    <n v="1"/>
    <s v="05AB94D5-2F8D-4B06-878D-615956C94EC2"/>
    <n v="162500"/>
    <n v="2266.5966386554619"/>
    <n v="27"/>
    <x v="113"/>
    <n v="145"/>
    <s v="Peter Smith"/>
    <s v="82, Ell Pie Lane"/>
    <s v="Birmingham"/>
    <s v="GB        "/>
    <x v="0"/>
    <x v="0"/>
    <n v="37"/>
    <n v="130000"/>
    <n v="3950"/>
    <n v="3150"/>
    <n v="1950"/>
    <n v="162500"/>
    <n v="139050"/>
    <n v="0.16864437252786771"/>
    <n v="23450"/>
    <x v="0"/>
    <d v="2017-04-30T00:00:00"/>
    <n v="6"/>
    <s v="Wraith"/>
    <x v="9"/>
    <s v="GBR"/>
    <s v="Monday"/>
    <n v="162500"/>
  </r>
  <r>
    <n v="159"/>
    <n v="146"/>
    <n v="1"/>
    <s v="B607E8E1-5ECA-4DE2-BC46-909DBF9371D3"/>
    <n v="79500"/>
    <n v="2266.5966386554619"/>
    <n v="41"/>
    <x v="114"/>
    <n v="146"/>
    <s v="Sport.Car"/>
    <s v="Via Barberini 59"/>
    <s v="Rome"/>
    <s v="IT        "/>
    <x v="6"/>
    <x v="0"/>
    <n v="75"/>
    <n v="63600"/>
    <n v="2175"/>
    <n v="750"/>
    <n v="750"/>
    <n v="79500"/>
    <n v="67275"/>
    <n v="0.18171683389074689"/>
    <n v="12225"/>
    <x v="4"/>
    <d v="2017-05-01T00:00:00"/>
    <n v="16"/>
    <s v="XK150"/>
    <x v="6"/>
    <s v="GBR"/>
    <s v="Tuesday"/>
    <n v="79500"/>
  </r>
  <r>
    <n v="160"/>
    <n v="147"/>
    <n v="1"/>
    <s v="7A12CA8A-DC67-4A4F-B6F4-8B150873523A"/>
    <n v="65890"/>
    <n v="2266.5966386554619"/>
    <n v="42"/>
    <x v="115"/>
    <n v="147"/>
    <s v="Autos Sportivos"/>
    <s v="Paseo del Prado, 270"/>
    <s v="Madrid"/>
    <s v="ES        "/>
    <x v="5"/>
    <x v="0"/>
    <n v="64"/>
    <n v="52712"/>
    <n v="500"/>
    <n v="750"/>
    <n v="750"/>
    <n v="65890"/>
    <n v="54712"/>
    <n v="0.20430618511478291"/>
    <n v="11178"/>
    <x v="1"/>
    <d v="2017-05-02T00:00:00"/>
    <n v="13"/>
    <s v="Torpedo"/>
    <x v="13"/>
    <s v="FRA"/>
    <s v="Tuesday"/>
    <n v="65890"/>
  </r>
  <r>
    <n v="161"/>
    <n v="148"/>
    <n v="1"/>
    <s v="4A4A1D5E-1682-4ACA-A60D-0072693FE190"/>
    <n v="61500"/>
    <n v="2266.5966386554619"/>
    <n v="40"/>
    <x v="116"/>
    <n v="148"/>
    <s v="Ronaldo Bianco"/>
    <s v="Palazzo Medusa 2000"/>
    <s v="Milan"/>
    <s v="IT        "/>
    <x v="6"/>
    <x v="0"/>
    <n v="21"/>
    <n v="49200"/>
    <n v="1360"/>
    <n v="750"/>
    <n v="550"/>
    <n v="61500"/>
    <n v="51860"/>
    <n v="0.18588507520246811"/>
    <n v="9640"/>
    <x v="4"/>
    <d v="2017-05-02T00:00:00"/>
    <n v="4"/>
    <s v="DB2"/>
    <x v="2"/>
    <s v="GBR"/>
    <s v="Wednesday"/>
    <n v="61500"/>
  </r>
  <r>
    <n v="162"/>
    <n v="149"/>
    <n v="1"/>
    <s v="C4ACB04E-C8D4-465E-8D66-8BA033443D61"/>
    <n v="12500"/>
    <n v="2266.5966386554619"/>
    <n v="39"/>
    <x v="117"/>
    <n v="149"/>
    <s v="Alicia Almodovar"/>
    <s v="Palacia Del Sol"/>
    <s v="Barcelona"/>
    <s v="ES        "/>
    <x v="5"/>
    <x v="0"/>
    <n v="12"/>
    <n v="10000"/>
    <n v="500"/>
    <n v="750"/>
    <n v="150"/>
    <n v="12500"/>
    <n v="11400"/>
    <n v="9.6491228070175517E-2"/>
    <n v="1100"/>
    <x v="1"/>
    <d v="2017-05-03T00:00:00"/>
    <n v="2"/>
    <s v="924"/>
    <x v="1"/>
    <s v="GER"/>
    <s v="Wednesday"/>
    <n v="12500"/>
  </r>
  <r>
    <n v="163"/>
    <n v="150"/>
    <n v="1"/>
    <s v="5D11974B-326C-44C5-BA1D-57968CAB0DEE"/>
    <n v="255000"/>
    <n v="2266.5966386554619"/>
    <n v="1"/>
    <x v="118"/>
    <n v="150"/>
    <s v="Magic Motors"/>
    <s v="27, Handsworth Road"/>
    <s v="Birmingham"/>
    <s v="GB        "/>
    <x v="0"/>
    <x v="0"/>
    <n v="10"/>
    <n v="204000"/>
    <n v="9250"/>
    <n v="1500"/>
    <n v="1950"/>
    <n v="255000"/>
    <n v="216700"/>
    <n v="0.17674203968620211"/>
    <n v="38300"/>
    <x v="4"/>
    <d v="2017-05-03T00:00:00"/>
    <n v="1"/>
    <s v="Enzo"/>
    <x v="0"/>
    <s v="ITA"/>
    <s v="Wednesday"/>
    <n v="255000"/>
  </r>
  <r>
    <n v="164"/>
    <n v="151"/>
    <n v="1"/>
    <s v="F8B48177-FB78-4245-935F-FB6FBCE8D870"/>
    <n v="255950"/>
    <n v="500"/>
    <n v="43"/>
    <x v="119"/>
    <n v="151"/>
    <s v="Le Luxe en Motion"/>
    <s v="32, Allee de la Paix"/>
    <s v="Paris"/>
    <s v="FR        "/>
    <x v="2"/>
    <x v="0"/>
    <n v="8"/>
    <n v="204760"/>
    <n v="5500"/>
    <n v="750"/>
    <n v="1950"/>
    <n v="255950"/>
    <n v="212960"/>
    <n v="0.20186889556724269"/>
    <n v="42990"/>
    <x v="1"/>
    <d v="2017-05-11T00:00:00"/>
    <n v="1"/>
    <s v="F50"/>
    <x v="0"/>
    <s v="ITA"/>
    <s v="Friday"/>
    <n v="255950"/>
  </r>
  <r>
    <n v="165"/>
    <n v="152"/>
    <n v="1"/>
    <s v="6AEAC4F1-4C81-4FAA-A97C-3DCC0E6CB5DE"/>
    <n v="250000"/>
    <n v="2450"/>
    <n v="44"/>
    <x v="120"/>
    <n v="152"/>
    <s v="Screamin' Wheels Corp"/>
    <s v="50000 Fifth Avenue"/>
    <s v="New York"/>
    <s v="US        "/>
    <x v="3"/>
    <x v="1"/>
    <n v="7"/>
    <n v="200000"/>
    <n v="3950"/>
    <n v="3150"/>
    <n v="1950"/>
    <n v="250000"/>
    <n v="209050"/>
    <n v="0.19588615163836409"/>
    <n v="40950"/>
    <x v="4"/>
    <d v="2017-05-12T00:00:00"/>
    <n v="1"/>
    <s v="F40"/>
    <x v="0"/>
    <s v="ITA"/>
    <s v="Saturday"/>
    <n v="250000"/>
  </r>
  <r>
    <n v="166"/>
    <n v="153"/>
    <n v="1"/>
    <s v="A5BDB4E0-1544-449F-8596-D63D70548675"/>
    <n v="6500"/>
    <n v="2266.5966386554619"/>
    <n v="33"/>
    <x v="121"/>
    <n v="153"/>
    <s v="Prestissimo!"/>
    <s v="Via Appia 239"/>
    <s v="Milan"/>
    <s v="IT        "/>
    <x v="6"/>
    <x v="0"/>
    <n v="54"/>
    <n v="5200"/>
    <n v="500"/>
    <n v="750"/>
    <n v="150"/>
    <n v="6500"/>
    <n v="6600"/>
    <n v="-1.515151515151514E-2"/>
    <n v="-100"/>
    <x v="1"/>
    <d v="2017-05-15T00:00:00"/>
    <n v="9"/>
    <s v="Giulietta"/>
    <x v="5"/>
    <s v="ITA"/>
    <s v="Tuesday"/>
    <n v="6500"/>
  </r>
  <r>
    <n v="167"/>
    <n v="154"/>
    <n v="1"/>
    <s v="06FD2864-8415-44A5-B022-B98BEFB7E490"/>
    <n v="9250"/>
    <n v="2266.5966386554619"/>
    <n v="22"/>
    <x v="122"/>
    <n v="154"/>
    <s v="Stan Collywobble"/>
    <s v="65, Townsend Road"/>
    <s v="Manchester"/>
    <s v="GB        "/>
    <x v="0"/>
    <x v="0"/>
    <n v="90"/>
    <n v="7400"/>
    <n v="500"/>
    <n v="750"/>
    <n v="150"/>
    <n v="9250"/>
    <n v="8800"/>
    <n v="5.1136363636363542E-2"/>
    <n v="450"/>
    <x v="7"/>
    <d v="2017-05-18T00:00:00"/>
    <n v="21"/>
    <s v="GT6"/>
    <x v="7"/>
    <s v="GBR"/>
    <s v="Friday"/>
    <n v="9250"/>
  </r>
  <r>
    <n v="168"/>
    <n v="155"/>
    <n v="1"/>
    <s v="ECC534C7-B2DD-425C-98D3-98D2332B373C"/>
    <n v="950"/>
    <n v="2266.5966386554619"/>
    <n v="11"/>
    <x v="123"/>
    <n v="155"/>
    <s v="London Executive Prestige Vehicles"/>
    <s v="199, Park Lane"/>
    <s v="London"/>
    <s v="GB        "/>
    <x v="0"/>
    <x v="0"/>
    <n v="100"/>
    <n v="760"/>
    <n v="500"/>
    <n v="750"/>
    <n v="150"/>
    <n v="950"/>
    <n v="2160"/>
    <n v="-0.56018518518518512"/>
    <n v="-1210"/>
    <x v="4"/>
    <d v="2017-05-19T00:00:00"/>
    <n v="24"/>
    <s v="Robin"/>
    <x v="16"/>
    <s v="FRA"/>
    <s v="Saturday"/>
    <n v="950"/>
  </r>
  <r>
    <n v="169"/>
    <n v="156"/>
    <n v="1"/>
    <s v="589E8DB1-B2D4-4921-A11B-9A2A80EA73D9"/>
    <n v="295000"/>
    <n v="2266.5966386554619"/>
    <n v="8"/>
    <x v="124"/>
    <n v="156"/>
    <s v="M. Pierre Dubois"/>
    <s v="14, Rue De La Hutte"/>
    <s v="Marseille"/>
    <s v="FR        "/>
    <x v="2"/>
    <x v="0"/>
    <n v="80"/>
    <n v="236000"/>
    <n v="9250"/>
    <n v="3150"/>
    <n v="1950"/>
    <n v="295000"/>
    <n v="250350"/>
    <n v="0.1783503095666068"/>
    <n v="44650"/>
    <x v="7"/>
    <d v="2017-05-20T00:00:00"/>
    <n v="18"/>
    <s v="P1"/>
    <x v="17"/>
    <s v="GBR"/>
    <s v="Sunday"/>
    <n v="295000"/>
  </r>
  <r>
    <n v="170"/>
    <n v="157"/>
    <n v="1"/>
    <s v="BD15948E-42F0-41BC-920C-343E0816B0AB"/>
    <n v="99500"/>
    <n v="2266.5966386554619"/>
    <n v="45"/>
    <x v="125"/>
    <n v="157"/>
    <s v="Pierre Blanc"/>
    <s v="52 Deirdre Lane"/>
    <s v="London"/>
    <s v="GB        "/>
    <x v="0"/>
    <x v="0"/>
    <n v="70"/>
    <n v="79600"/>
    <n v="1490"/>
    <n v="750"/>
    <n v="750"/>
    <n v="99500"/>
    <n v="82590"/>
    <n v="0.2047463373289744"/>
    <n v="16910"/>
    <x v="3"/>
    <d v="2017-05-21T00:00:00"/>
    <n v="15"/>
    <s v="DMC 12"/>
    <x v="18"/>
    <s v="USA"/>
    <s v="Monday"/>
    <n v="99500"/>
  </r>
  <r>
    <n v="171"/>
    <n v="158"/>
    <n v="1"/>
    <s v="E0760EF4-3939-4063-821F-5923EF8760B4"/>
    <n v="33500"/>
    <n v="750"/>
    <n v="46"/>
    <x v="126"/>
    <n v="158"/>
    <s v="Capots Reluisants S.A."/>
    <s v="567 rue Lafayette"/>
    <s v="Paris"/>
    <s v="FR        "/>
    <x v="2"/>
    <x v="0"/>
    <n v="60"/>
    <n v="26800"/>
    <n v="500"/>
    <n v="750"/>
    <n v="550"/>
    <n v="33500"/>
    <n v="28600"/>
    <n v="0.17132867132867119"/>
    <n v="4900"/>
    <x v="4"/>
    <d v="2017-05-22T00:00:00"/>
    <n v="11"/>
    <s v="E30"/>
    <x v="19"/>
    <s v="GER"/>
    <s v="Tuesday"/>
    <n v="33500"/>
  </r>
  <r>
    <n v="172"/>
    <n v="159"/>
    <n v="1"/>
    <s v="D3C15454-EF60-415F-860D-99D41F0A485F"/>
    <n v="45000"/>
    <n v="2450"/>
    <n v="23"/>
    <x v="127"/>
    <n v="159"/>
    <s v="Glitz"/>
    <s v="FriedrichStrasse 579"/>
    <s v="Stuttgart"/>
    <s v="DE        "/>
    <x v="1"/>
    <x v="0"/>
    <n v="21"/>
    <n v="36000"/>
    <n v="500"/>
    <n v="750"/>
    <n v="550"/>
    <n v="45000"/>
    <n v="37800"/>
    <n v="0.19047619047619049"/>
    <n v="7200"/>
    <x v="3"/>
    <d v="2017-05-23T00:00:00"/>
    <n v="4"/>
    <s v="DB2"/>
    <x v="2"/>
    <s v="GBR"/>
    <s v="Wednesday"/>
    <n v="45000"/>
  </r>
  <r>
    <n v="173"/>
    <n v="160"/>
    <n v="1"/>
    <s v="DF5411FC-24C5-4CAB-89DF-54741054D8DD"/>
    <n v="36500"/>
    <n v="2266.5966386554619"/>
    <n v="35"/>
    <x v="128"/>
    <n v="160"/>
    <s v="Laurent Saint Yves"/>
    <s v="49, Rue Quicampoix"/>
    <s v="Marseille"/>
    <s v="FR        "/>
    <x v="2"/>
    <x v="0"/>
    <n v="22"/>
    <n v="29200"/>
    <n v="500"/>
    <n v="500"/>
    <n v="550"/>
    <n v="114000"/>
    <n v="30750"/>
    <n v="2.7073170731707319"/>
    <n v="83250"/>
    <x v="4"/>
    <d v="2017-05-24T00:00:00"/>
    <n v="4"/>
    <s v="DB4"/>
    <x v="2"/>
    <s v="GBR"/>
    <s v="Friday"/>
    <n v="114000"/>
  </r>
  <r>
    <n v="174"/>
    <n v="160"/>
    <n v="2"/>
    <s v="8BB5BBD3-E03C-457C-86E2-67199FCB302A"/>
    <n v="77500"/>
    <n v="2266.5966386554619"/>
    <n v="35"/>
    <x v="128"/>
    <n v="160"/>
    <s v="Laurent Saint Yves"/>
    <s v="49, Rue Quicampoix"/>
    <s v="Marseille"/>
    <s v="FR        "/>
    <x v="2"/>
    <x v="0"/>
    <n v="25"/>
    <n v="62000"/>
    <n v="1490"/>
    <n v="1500"/>
    <n v="750"/>
    <n v="114000"/>
    <n v="65740"/>
    <n v="0.73410404624277459"/>
    <n v="48260"/>
    <x v="5"/>
    <d v="2017-05-25T00:00:00"/>
    <n v="4"/>
    <s v="DB9"/>
    <x v="2"/>
    <s v="GBR"/>
    <s v="Friday"/>
    <n v="114000"/>
  </r>
  <r>
    <n v="175"/>
    <n v="161"/>
    <n v="1"/>
    <s v="3A0070F8-C340-4B6F-9F36-4A1CBDB39FE9"/>
    <n v="2350"/>
    <n v="2266.5966386554619"/>
    <n v="24"/>
    <x v="129"/>
    <n v="161"/>
    <s v="Matterhorn Motors"/>
    <s v="1, Rue de la Colline"/>
    <s v="Lausanne"/>
    <s v="CH        "/>
    <x v="4"/>
    <x v="0"/>
    <n v="65"/>
    <n v="1880"/>
    <n v="500"/>
    <n v="225"/>
    <n v="150"/>
    <n v="2350"/>
    <n v="2755"/>
    <n v="-0.14700544464609799"/>
    <n v="-405"/>
    <x v="2"/>
    <d v="2017-05-26T00:00:00"/>
    <n v="13"/>
    <s v="Rosalie"/>
    <x v="13"/>
    <s v="FRA"/>
    <s v="Saturday"/>
    <n v="2350"/>
  </r>
  <r>
    <n v="176"/>
    <n v="162"/>
    <n v="1"/>
    <s v="638FCDD5-AFFF-4DCA-AAEC-17F527FB9D02"/>
    <n v="32500"/>
    <n v="500"/>
    <n v="11"/>
    <x v="130"/>
    <n v="162"/>
    <s v="London Executive Prestige Vehicles"/>
    <s v="199, Park Lane"/>
    <s v="London"/>
    <s v="GB        "/>
    <x v="0"/>
    <x v="0"/>
    <n v="45"/>
    <n v="26000"/>
    <n v="1360"/>
    <n v="750"/>
    <n v="550"/>
    <n v="32500"/>
    <n v="28660"/>
    <n v="0.13398464759246331"/>
    <n v="3840"/>
    <x v="4"/>
    <d v="2017-05-31T00:00:00"/>
    <n v="8"/>
    <s v="280SL"/>
    <x v="4"/>
    <s v="GER"/>
    <s v="Thursday"/>
    <n v="32500"/>
  </r>
  <r>
    <n v="177"/>
    <n v="163"/>
    <n v="1"/>
    <s v="0C3EBD09-B9DF-414D-AD00-90F5819812D0"/>
    <n v="45000"/>
    <n v="1500"/>
    <n v="19"/>
    <x v="131"/>
    <n v="163"/>
    <s v="Posh Vehicles Ltd"/>
    <s v="82, Millar Close"/>
    <s v="Manchester"/>
    <s v="GB        "/>
    <x v="0"/>
    <x v="0"/>
    <n v="85"/>
    <n v="36000"/>
    <n v="500"/>
    <n v="750"/>
    <n v="550"/>
    <n v="45000"/>
    <n v="37800"/>
    <n v="0.19047619047619049"/>
    <n v="7200"/>
    <x v="1"/>
    <d v="2017-05-31T00:00:00"/>
    <n v="20"/>
    <s v="M600"/>
    <x v="20"/>
    <s v="GBR"/>
    <s v="Thursday"/>
    <n v="45000"/>
  </r>
  <r>
    <n v="178"/>
    <n v="164"/>
    <n v="1"/>
    <s v="8BB7FF86-2D80-40B7-B216-254C16843529"/>
    <n v="8500"/>
    <n v="2266.5966386554619"/>
    <n v="6"/>
    <x v="132"/>
    <n v="164"/>
    <s v="Le Luxe en Motion"/>
    <s v="Avenue des Indes, 26"/>
    <s v="Geneva"/>
    <s v="CH        "/>
    <x v="4"/>
    <x v="0"/>
    <n v="87"/>
    <n v="6800"/>
    <n v="500"/>
    <n v="750"/>
    <n v="150"/>
    <n v="8500"/>
    <n v="8200"/>
    <n v="3.6585365853658569E-2"/>
    <n v="300"/>
    <x v="6"/>
    <d v="2017-06-05T00:00:00"/>
    <n v="21"/>
    <s v="TR5"/>
    <x v="7"/>
    <s v="GBR"/>
    <s v="Thursday"/>
    <n v="8500"/>
  </r>
  <r>
    <n v="179"/>
    <n v="165"/>
    <n v="1"/>
    <s v="57E2BA34-6397-448F-8A8C-1306CC922231"/>
    <n v="99500"/>
    <n v="2266.5966386554619"/>
    <n v="4"/>
    <x v="133"/>
    <n v="165"/>
    <s v="WunderKar"/>
    <s v="AlexanderPlatz 205"/>
    <s v="Berlin"/>
    <s v="DE        "/>
    <x v="1"/>
    <x v="0"/>
    <n v="25"/>
    <n v="79600"/>
    <n v="2175"/>
    <n v="750"/>
    <n v="750"/>
    <n v="99500"/>
    <n v="83275"/>
    <n v="0.19483638546982901"/>
    <n v="16225"/>
    <x v="6"/>
    <d v="2017-06-09T00:00:00"/>
    <n v="4"/>
    <s v="DB9"/>
    <x v="2"/>
    <s v="GBR"/>
    <s v="Thursday"/>
    <n v="99500"/>
  </r>
  <r>
    <n v="180"/>
    <n v="166"/>
    <n v="1"/>
    <s v="2EE943CB-2473-4333-8626-FC94FCD0947E"/>
    <n v="25000"/>
    <n v="2266.5966386554619"/>
    <n v="47"/>
    <x v="134"/>
    <n v="166"/>
    <s v="Stefano DiLonghi"/>
    <s v="Piazza Verona"/>
    <s v="Rome"/>
    <s v="IT        "/>
    <x v="6"/>
    <x v="0"/>
    <n v="458"/>
    <n v="20000"/>
    <n v="500"/>
    <n v="150"/>
    <n v="150"/>
    <n v="25000"/>
    <n v="20800"/>
    <n v="0.2019230769230769"/>
    <n v="4200"/>
    <x v="5"/>
    <d v="2017-06-10T00:00:00"/>
    <n v="8.7155172413793096"/>
    <s v="DB9"/>
    <x v="2"/>
    <s v="GBR"/>
    <s v="Thursday"/>
    <n v="25000"/>
  </r>
  <r>
    <n v="181"/>
    <n v="167"/>
    <n v="1"/>
    <s v="1A80A54C-D98D-41D6-87EE-8F67F3B06FA8"/>
    <n v="19500"/>
    <n v="2266.5966386554619"/>
    <n v="33"/>
    <x v="135"/>
    <n v="167"/>
    <s v="Prestissimo!"/>
    <s v="Via Appia 239"/>
    <s v="Milan"/>
    <s v="IT        "/>
    <x v="6"/>
    <x v="0"/>
    <n v="985"/>
    <n v="15600"/>
    <n v="1360"/>
    <n v="500"/>
    <n v="150"/>
    <n v="19500"/>
    <n v="17610"/>
    <n v="0.10732538330494031"/>
    <n v="1890"/>
    <x v="1"/>
    <d v="2017-06-11T00:00:00"/>
    <n v="8.7155172413793096"/>
    <s v="DB9"/>
    <x v="2"/>
    <s v="GBR"/>
    <s v="Thursday"/>
    <n v="19500"/>
  </r>
  <r>
    <n v="182"/>
    <n v="168"/>
    <n v="1"/>
    <s v="D32D55B7-3546-4CCA-B4C0-DBA976572CA2"/>
    <n v="12950"/>
    <n v="750"/>
    <n v="48"/>
    <x v="136"/>
    <n v="168"/>
    <s v="Antonio Maura"/>
    <s v="Puerta del Sol, 45"/>
    <s v="Madrid"/>
    <s v="ES        "/>
    <x v="5"/>
    <x v="0"/>
    <n v="91"/>
    <n v="10360"/>
    <n v="1360"/>
    <n v="750"/>
    <n v="150"/>
    <n v="12950"/>
    <n v="12620"/>
    <n v="2.6148969889064899E-2"/>
    <n v="330"/>
    <x v="1"/>
    <d v="2017-06-12T00:00:00"/>
    <n v="21"/>
    <s v="Roadster"/>
    <x v="7"/>
    <s v="GBR"/>
    <s v="Thursday"/>
    <n v="12950"/>
  </r>
  <r>
    <n v="183"/>
    <n v="169"/>
    <n v="1"/>
    <s v="D05D6642-FABF-4F56-8A7E-D8C47A8AAB70"/>
    <n v="5650"/>
    <n v="2266.5966386554619"/>
    <n v="25"/>
    <x v="137"/>
    <n v="169"/>
    <s v="King Leer Cars"/>
    <s v="87, Lindisfarne Road"/>
    <s v="Newcastle"/>
    <s v="GB        "/>
    <x v="0"/>
    <x v="0"/>
    <n v="52"/>
    <n v="4520"/>
    <n v="500"/>
    <n v="150"/>
    <n v="150"/>
    <n v="5650"/>
    <n v="5320"/>
    <n v="6.203007518796988E-2"/>
    <n v="330"/>
    <x v="4"/>
    <d v="2017-06-21T00:00:00"/>
    <n v="9"/>
    <s v="Spider"/>
    <x v="5"/>
    <s v="ITA"/>
    <s v="Thursday"/>
    <n v="5650"/>
  </r>
  <r>
    <n v="184"/>
    <n v="170"/>
    <n v="1"/>
    <s v="658F0B06-2357-4DAA-803C-4DD7F569F270"/>
    <n v="29500"/>
    <n v="1500"/>
    <n v="16"/>
    <x v="138"/>
    <n v="170"/>
    <s v="SuperSport S.A.R.L."/>
    <s v="210 Place de la Republique"/>
    <s v="Paris"/>
    <s v="FR        "/>
    <x v="2"/>
    <x v="0"/>
    <n v="75"/>
    <n v="23600"/>
    <n v="500"/>
    <n v="150"/>
    <n v="150"/>
    <n v="29500"/>
    <n v="24400"/>
    <n v="0.20901639344262299"/>
    <n v="5100"/>
    <x v="4"/>
    <d v="2017-06-22T00:00:00"/>
    <n v="16"/>
    <s v="XK150"/>
    <x v="6"/>
    <s v="GBR"/>
    <s v="Saturday"/>
    <n v="29500"/>
  </r>
  <r>
    <n v="185"/>
    <n v="171"/>
    <n v="1"/>
    <s v="760F5558-3C9E-4B70-A412-0448B90B0D89"/>
    <n v="3950"/>
    <n v="750"/>
    <n v="49"/>
    <x v="139"/>
    <n v="171"/>
    <s v="Stefan Van Helsing"/>
    <s v="Nieuwstraat 5"/>
    <s v="Brussels"/>
    <s v="BE        "/>
    <x v="7"/>
    <x v="0"/>
    <n v="96"/>
    <n v="3160"/>
    <n v="500"/>
    <n v="750"/>
    <n v="150"/>
    <n v="45950"/>
    <n v="4560"/>
    <n v="9.0767543859649127"/>
    <n v="41390"/>
    <x v="4"/>
    <d v="2017-06-23T00:00:00"/>
    <n v="23"/>
    <s v="205"/>
    <x v="10"/>
    <s v="GER"/>
    <s v="Saturday"/>
    <n v="45950"/>
  </r>
  <r>
    <n v="186"/>
    <n v="171"/>
    <n v="2"/>
    <s v="B09E4DDD-C2DD-45BE-B5F1-19FBF5970352"/>
    <n v="29500"/>
    <n v="750"/>
    <n v="49"/>
    <x v="139"/>
    <n v="171"/>
    <s v="Stefan Van Helsing"/>
    <s v="Nieuwstraat 5"/>
    <s v="Brussels"/>
    <s v="BE        "/>
    <x v="7"/>
    <x v="0"/>
    <n v="85"/>
    <n v="23600"/>
    <n v="1360"/>
    <n v="750"/>
    <n v="150"/>
    <n v="45950"/>
    <n v="25860"/>
    <n v="0.77687548337200307"/>
    <n v="20090"/>
    <x v="4"/>
    <d v="2017-06-30T00:00:00"/>
    <n v="20"/>
    <s v="M600"/>
    <x v="20"/>
    <s v="GBR"/>
    <s v="Saturday"/>
    <n v="45950"/>
  </r>
  <r>
    <n v="187"/>
    <n v="171"/>
    <n v="3"/>
    <s v="B4CC6E9A-8473-4A84-A811-73EABAFDC582"/>
    <n v="12500"/>
    <n v="2266.5966386554619"/>
    <n v="49"/>
    <x v="139"/>
    <n v="171"/>
    <s v="Stefan Van Helsing"/>
    <s v="Nieuwstraat 5"/>
    <s v="Brussels"/>
    <s v="BE        "/>
    <x v="7"/>
    <x v="0"/>
    <n v="52"/>
    <n v="10000"/>
    <n v="500"/>
    <n v="750"/>
    <n v="150"/>
    <n v="45950"/>
    <n v="11400"/>
    <n v="3.0307017543859649"/>
    <n v="34550"/>
    <x v="4"/>
    <d v="2017-06-30T00:00:00"/>
    <n v="9"/>
    <s v="Spider"/>
    <x v="5"/>
    <s v="ITA"/>
    <s v="Saturday"/>
    <n v="45950"/>
  </r>
  <r>
    <n v="188"/>
    <n v="172"/>
    <n v="1"/>
    <s v="2595D5C0-5002-464B-8F2B-C873FB29B4F9"/>
    <n v="99950"/>
    <n v="2266.5966386554619"/>
    <n v="50"/>
    <x v="140"/>
    <n v="172"/>
    <s v="Mme Anne Duport"/>
    <s v="90, Place de la Victoire 1945"/>
    <s v="Paris"/>
    <s v="FR        "/>
    <x v="2"/>
    <x v="0"/>
    <n v="41"/>
    <n v="79960"/>
    <n v="1490"/>
    <n v="750"/>
    <n v="750"/>
    <n v="99950"/>
    <n v="82950"/>
    <n v="0.20494273658830631"/>
    <n v="17000"/>
    <x v="1"/>
    <d v="2017-06-30T00:00:00"/>
    <n v="6"/>
    <s v="Silver Seraph"/>
    <x v="9"/>
    <s v="GBR"/>
    <s v="Saturday"/>
    <n v="99950"/>
  </r>
  <r>
    <n v="189"/>
    <n v="173"/>
    <n v="1"/>
    <s v="D69ABA72-1B0D-4073-8B7D-D6CA65C4DDF7"/>
    <n v="335000"/>
    <n v="1250"/>
    <n v="3"/>
    <x v="141"/>
    <n v="173"/>
    <s v="Birmingham Executive Prestige Vehicles"/>
    <s v="96, Aardvark Avenue"/>
    <s v="Birmingham"/>
    <s v="GB        "/>
    <x v="0"/>
    <x v="0"/>
    <n v="63"/>
    <n v="268000"/>
    <n v="2000"/>
    <n v="2200"/>
    <n v="1950"/>
    <n v="335000"/>
    <n v="274150"/>
    <n v="0.22195878168885641"/>
    <n v="60850"/>
    <x v="7"/>
    <d v="2017-07-01T00:00:00"/>
    <n v="12"/>
    <s v="57C"/>
    <x v="15"/>
    <s v="FRA"/>
    <s v="Monday"/>
    <n v="335000"/>
  </r>
  <r>
    <n v="190"/>
    <n v="174"/>
    <n v="1"/>
    <s v="332CE8D2-E19F-4656-BCC6-E3E45AD09D85"/>
    <n v="56500"/>
    <n v="2266.5966386554619"/>
    <n v="8"/>
    <x v="142"/>
    <n v="174"/>
    <s v="M. Pierre Dubois"/>
    <s v="14, Rue De La Hutte"/>
    <s v="Marseille"/>
    <s v="FR        "/>
    <x v="2"/>
    <x v="0"/>
    <n v="25"/>
    <n v="45200"/>
    <n v="500"/>
    <n v="750"/>
    <n v="550"/>
    <n v="56500"/>
    <n v="47000"/>
    <n v="0.2021276595744681"/>
    <n v="9500"/>
    <x v="7"/>
    <d v="2017-07-25T00:00:00"/>
    <n v="4"/>
    <s v="DB9"/>
    <x v="2"/>
    <s v="GBR"/>
    <s v="Monday"/>
    <n v="56500"/>
  </r>
  <r>
    <n v="191"/>
    <n v="175"/>
    <n v="1"/>
    <s v="306507B9-D2E1-4C5D-8F01-C93C90C93B6E"/>
    <n v="99500"/>
    <n v="2266.5966386554619"/>
    <n v="11"/>
    <x v="143"/>
    <n v="175"/>
    <s v="London Executive Prestige Vehicles"/>
    <s v="199, Park Lane"/>
    <s v="London"/>
    <s v="GB        "/>
    <x v="0"/>
    <x v="0"/>
    <n v="29"/>
    <n v="79600"/>
    <n v="2175"/>
    <n v="750"/>
    <n v="750"/>
    <n v="99500"/>
    <n v="83275"/>
    <n v="0.19483638546982901"/>
    <n v="16225"/>
    <x v="3"/>
    <d v="2017-07-25T00:00:00"/>
    <n v="4"/>
    <s v="Rapide"/>
    <x v="2"/>
    <s v="GBR"/>
    <s v="Monday"/>
    <n v="99500"/>
  </r>
  <r>
    <n v="192"/>
    <n v="176"/>
    <n v="1"/>
    <s v="2B0FC8E5-82CB-4804-8691-0586F2255E9E"/>
    <n v="135000"/>
    <n v="1500"/>
    <n v="16"/>
    <x v="144"/>
    <n v="176"/>
    <s v="SuperSport S.A.R.L."/>
    <s v="210 Place de la Republique"/>
    <s v="Paris"/>
    <s v="FR        "/>
    <x v="2"/>
    <x v="0"/>
    <n v="38"/>
    <n v="108000"/>
    <n v="2000"/>
    <n v="1500"/>
    <n v="1950"/>
    <n v="135000"/>
    <n v="113450"/>
    <n v="0.1899515204936095"/>
    <n v="21550"/>
    <x v="7"/>
    <d v="2017-07-25T00:00:00"/>
    <n v="6"/>
    <s v="Silver Shadow"/>
    <x v="9"/>
    <s v="GBR"/>
    <s v="Monday"/>
    <n v="135000"/>
  </r>
  <r>
    <n v="193"/>
    <n v="177"/>
    <n v="1"/>
    <s v="ACB85DBA-4914-4222-8D24-6D87B0DAE10A"/>
    <n v="89500"/>
    <n v="2266.5966386554619"/>
    <n v="25"/>
    <x v="144"/>
    <n v="177"/>
    <s v="King Leer Cars"/>
    <s v="87, Lindisfarne Road"/>
    <s v="Newcastle"/>
    <s v="GB        "/>
    <x v="0"/>
    <x v="0"/>
    <n v="39"/>
    <n v="71600"/>
    <n v="500"/>
    <n v="750"/>
    <n v="750"/>
    <n v="89500"/>
    <n v="73600"/>
    <n v="0.21603260869565211"/>
    <n v="15900"/>
    <x v="2"/>
    <d v="2017-07-25T00:00:00"/>
    <n v="6"/>
    <s v="Corniche"/>
    <x v="9"/>
    <s v="GBR"/>
    <s v="Monday"/>
    <n v="89500"/>
  </r>
  <r>
    <n v="194"/>
    <n v="178"/>
    <n v="1"/>
    <s v="23E43063-5402-4946-8830-0723F6B3CE1C"/>
    <n v="165000"/>
    <n v="2266.5966386554619"/>
    <n v="24"/>
    <x v="145"/>
    <n v="178"/>
    <s v="Matterhorn Motors"/>
    <s v="1, Rue de la Colline"/>
    <s v="Lausanne"/>
    <s v="CH        "/>
    <x v="4"/>
    <x v="0"/>
    <n v="37"/>
    <n v="132000"/>
    <n v="9250"/>
    <n v="3150"/>
    <n v="1950"/>
    <n v="165000"/>
    <n v="146350"/>
    <n v="0.12743423300307491"/>
    <n v="18650"/>
    <x v="9"/>
    <d v="2017-08-02T00:00:00"/>
    <n v="6"/>
    <s v="Wraith"/>
    <x v="9"/>
    <s v="GBR"/>
    <s v="Friday"/>
    <n v="165000"/>
  </r>
  <r>
    <n v="195"/>
    <n v="179"/>
    <n v="1"/>
    <s v="E59BFE04-E70B-4BAC-9269-ADC311ED0032"/>
    <n v="22600"/>
    <n v="500"/>
    <n v="36"/>
    <x v="146"/>
    <n v="179"/>
    <s v="Screamin' Wheels"/>
    <s v="1090 Reagan Road"/>
    <s v="Los Angeles"/>
    <s v="US        "/>
    <x v="3"/>
    <x v="1"/>
    <n v="48"/>
    <n v="18080"/>
    <n v="1360"/>
    <n v="500"/>
    <n v="150"/>
    <n v="22600"/>
    <n v="20090"/>
    <n v="0.12493777999004491"/>
    <n v="2510"/>
    <x v="4"/>
    <d v="2017-08-02T00:00:00"/>
    <n v="8"/>
    <s v="250SL"/>
    <x v="4"/>
    <s v="GER"/>
    <s v="Friday"/>
    <n v="22600"/>
  </r>
  <r>
    <n v="196"/>
    <n v="180"/>
    <n v="1"/>
    <s v="8979136A-B34A-4CD3-B119-A6B158D15FFF"/>
    <n v="32675"/>
    <n v="2266.5966386554619"/>
    <n v="46"/>
    <x v="147"/>
    <n v="180"/>
    <s v="Capots Reluisants S.A."/>
    <s v="567 rue Lafayette"/>
    <s v="Paris"/>
    <s v="FR        "/>
    <x v="2"/>
    <x v="0"/>
    <n v="46"/>
    <n v="26140"/>
    <n v="660"/>
    <n v="500"/>
    <n v="550"/>
    <n v="32675"/>
    <n v="27850"/>
    <n v="0.1732495511669658"/>
    <n v="4825"/>
    <x v="9"/>
    <d v="2017-08-05T00:00:00"/>
    <n v="8"/>
    <s v="350SL"/>
    <x v="4"/>
    <s v="GER"/>
    <s v="Sunday"/>
    <n v="32675"/>
  </r>
  <r>
    <n v="197"/>
    <n v="181"/>
    <n v="1"/>
    <s v="34A4BB21-60B3-4B0D-8DDB-8189C471A581"/>
    <n v="45000"/>
    <n v="2266.5966386554619"/>
    <n v="28"/>
    <x v="148"/>
    <n v="181"/>
    <s v="Vive La Vitesse"/>
    <s v="56, Rue Noiratre"/>
    <s v="Marseille"/>
    <s v="FR        "/>
    <x v="2"/>
    <x v="0"/>
    <n v="47"/>
    <n v="36000"/>
    <n v="2000"/>
    <n v="500"/>
    <n v="550"/>
    <n v="45000"/>
    <n v="39050"/>
    <n v="0.15236875800256081"/>
    <n v="5950"/>
    <x v="3"/>
    <d v="2017-08-05T00:00:00"/>
    <n v="8"/>
    <s v="500SL"/>
    <x v="4"/>
    <s v="GER"/>
    <s v="Monday"/>
    <n v="45000"/>
  </r>
  <r>
    <n v="198"/>
    <n v="182"/>
    <n v="1"/>
    <s v="AFAF5C3E-80C9-4C5A-9D2A-CDD238E40264"/>
    <n v="5500"/>
    <n v="2266.5966386554619"/>
    <n v="21"/>
    <x v="149"/>
    <n v="182"/>
    <s v="Silver HubCaps"/>
    <s v="54, Didsbury Lane"/>
    <s v="Manchester"/>
    <s v="GB        "/>
    <x v="0"/>
    <x v="0"/>
    <n v="58"/>
    <n v="4400"/>
    <n v="500"/>
    <n v="750"/>
    <n v="150"/>
    <n v="5500"/>
    <n v="5800"/>
    <n v="-5.1724137931034482E-2"/>
    <n v="-300"/>
    <x v="1"/>
    <d v="2017-08-25T00:00:00"/>
    <n v="11"/>
    <s v="Isetta"/>
    <x v="19"/>
    <s v="GER"/>
    <s v="Sunday"/>
    <n v="5500"/>
  </r>
  <r>
    <n v="199"/>
    <n v="183"/>
    <n v="1"/>
    <s v="7FCABEE5-E116-4AE3-B7B1-483C2F0D18CA"/>
    <n v="55000"/>
    <n v="2450"/>
    <n v="7"/>
    <x v="150"/>
    <n v="183"/>
    <s v="Eat My Exhaust Ltd"/>
    <s v="29, Kop Hill"/>
    <s v="Liverpool"/>
    <s v="GB        "/>
    <x v="0"/>
    <x v="0"/>
    <n v="85"/>
    <n v="44000"/>
    <n v="500"/>
    <n v="500"/>
    <n v="550"/>
    <n v="55000"/>
    <n v="45550"/>
    <n v="0.20746432491767289"/>
    <n v="9450"/>
    <x v="4"/>
    <d v="2017-08-29T00:00:00"/>
    <n v="20"/>
    <s v="M600"/>
    <x v="20"/>
    <s v="GBR"/>
    <s v="Wednesday"/>
    <n v="55000"/>
  </r>
  <r>
    <n v="200"/>
    <n v="184"/>
    <n v="1"/>
    <s v="B84575EE-2E61-482C-8B72-5A6A90ADC3FE"/>
    <n v="49500"/>
    <n v="2266.5966386554619"/>
    <n v="9"/>
    <x v="151"/>
    <n v="184"/>
    <s v="Sondra Horowitz"/>
    <s v="10040 Great Western Road"/>
    <s v="Los Angeles"/>
    <s v="US        "/>
    <x v="3"/>
    <x v="1"/>
    <n v="21"/>
    <n v="39600"/>
    <n v="1360"/>
    <n v="500"/>
    <n v="550"/>
    <n v="49500"/>
    <n v="42010"/>
    <n v="0.17829088312306579"/>
    <n v="7490"/>
    <x v="6"/>
    <d v="2017-08-31T00:00:00"/>
    <n v="4"/>
    <s v="DB2"/>
    <x v="2"/>
    <s v="GBR"/>
    <s v="Wednesday"/>
    <n v="49500"/>
  </r>
  <r>
    <n v="201"/>
    <n v="185"/>
    <n v="1"/>
    <s v="DB2AF439-6293-4925-B905-1A57A0118B1A"/>
    <n v="250000"/>
    <n v="2266.5966386554619"/>
    <n v="39"/>
    <x v="152"/>
    <n v="185"/>
    <s v="Alicia Almodovar"/>
    <s v="Palacia Del Sol"/>
    <s v="Barcelona"/>
    <s v="ES        "/>
    <x v="5"/>
    <x v="0"/>
    <n v="2"/>
    <n v="200000"/>
    <n v="500"/>
    <n v="2200"/>
    <n v="1950"/>
    <n v="250000"/>
    <n v="204650"/>
    <n v="0.22159784998778401"/>
    <n v="45350"/>
    <x v="4"/>
    <d v="2017-09-02T00:00:00"/>
    <n v="1"/>
    <s v="Testarossa"/>
    <x v="0"/>
    <s v="ITA"/>
    <s v="Wednesday"/>
    <n v="250000"/>
  </r>
  <r>
    <n v="202"/>
    <n v="186"/>
    <n v="1"/>
    <s v="15108517-AD0C-4FF2-A7D4-57679C374A68"/>
    <n v="155000"/>
    <n v="500"/>
    <n v="28"/>
    <x v="153"/>
    <n v="186"/>
    <s v="Vive La Vitesse"/>
    <s v="56, Rue Noiratre"/>
    <s v="Marseille"/>
    <s v="FR        "/>
    <x v="2"/>
    <x v="0"/>
    <n v="3"/>
    <n v="124000"/>
    <n v="9250"/>
    <n v="750"/>
    <n v="1950"/>
    <n v="155000"/>
    <n v="135950"/>
    <n v="0.14012504597278411"/>
    <n v="19050"/>
    <x v="0"/>
    <d v="2017-09-03T00:00:00"/>
    <n v="1"/>
    <s v="355"/>
    <x v="0"/>
    <s v="ITA"/>
    <s v="Wednesday"/>
    <n v="155000"/>
  </r>
  <r>
    <n v="203"/>
    <n v="187"/>
    <n v="1"/>
    <s v="10AD713C-C997-48BB-A5FB-F0B5FD26479B"/>
    <n v="15750"/>
    <n v="2266.5966386554619"/>
    <n v="17"/>
    <x v="154"/>
    <n v="187"/>
    <s v="Theo Kowalski"/>
    <s v="1000 East 51st Street"/>
    <s v="New York"/>
    <s v="US        "/>
    <x v="3"/>
    <x v="1"/>
    <n v="13"/>
    <n v="12600"/>
    <n v="1360"/>
    <n v="750"/>
    <n v="150"/>
    <n v="15750"/>
    <n v="14860"/>
    <n v="5.9892328398384993E-2"/>
    <n v="890"/>
    <x v="8"/>
    <d v="2017-09-25T00:00:00"/>
    <n v="2"/>
    <s v="944"/>
    <x v="1"/>
    <s v="GER"/>
    <s v="Tuesday"/>
    <n v="15750"/>
  </r>
  <r>
    <n v="204"/>
    <n v="188"/>
    <n v="1"/>
    <s v="C1C9D15D-9E57-4D22-8997-D1333EEC6B13"/>
    <n v="19500"/>
    <n v="2266.5966386554619"/>
    <n v="26"/>
    <x v="155"/>
    <n v="188"/>
    <s v="Honest Pete Motors"/>
    <s v="76, Williams Street"/>
    <s v="Stoke"/>
    <s v="GB        "/>
    <x v="0"/>
    <x v="0"/>
    <n v="15"/>
    <n v="15600"/>
    <n v="1360"/>
    <n v="750"/>
    <n v="150"/>
    <n v="19500"/>
    <n v="17860"/>
    <n v="9.1825307950727852E-2"/>
    <n v="1640"/>
    <x v="4"/>
    <d v="2017-10-10T00:00:00"/>
    <n v="2"/>
    <s v="928"/>
    <x v="1"/>
    <s v="GER"/>
    <s v="Sunday"/>
    <n v="19500"/>
  </r>
  <r>
    <n v="205"/>
    <n v="189"/>
    <n v="1"/>
    <s v="8A275CE2-D116-49F7-8571-FD91F21ADAAA"/>
    <n v="235000"/>
    <n v="750"/>
    <n v="35"/>
    <x v="156"/>
    <n v="189"/>
    <s v="Laurent Saint Yves"/>
    <s v="49, Rue Quicampoix"/>
    <s v="Marseille"/>
    <s v="FR        "/>
    <x v="2"/>
    <x v="0"/>
    <n v="18"/>
    <n v="188000"/>
    <n v="500"/>
    <n v="1500"/>
    <n v="1950"/>
    <n v="235000"/>
    <n v="191950"/>
    <n v="0.22427715550924709"/>
    <n v="43050"/>
    <x v="4"/>
    <d v="2017-10-10T00:00:00"/>
    <n v="3"/>
    <s v="Diabolo"/>
    <x v="8"/>
    <s v="ITA"/>
    <s v="Sunday"/>
    <n v="235000"/>
  </r>
  <r>
    <n v="206"/>
    <n v="190"/>
    <n v="1"/>
    <s v="009A5323-23E5-48BE-95DB-BA94E1897419"/>
    <n v="25000"/>
    <n v="1500"/>
    <n v="14"/>
    <x v="157"/>
    <n v="190"/>
    <s v="Convertible Dreams"/>
    <s v="31, Archbishop Ave"/>
    <s v="London"/>
    <s v="GB        "/>
    <x v="0"/>
    <x v="0"/>
    <n v="51"/>
    <n v="20000"/>
    <n v="1360"/>
    <n v="750"/>
    <n v="150"/>
    <n v="25000"/>
    <n v="22260"/>
    <n v="0.1230907457322552"/>
    <n v="2740"/>
    <x v="4"/>
    <d v="2017-10-29T00:00:00"/>
    <n v="9"/>
    <s v="Giulia"/>
    <x v="5"/>
    <s v="ITA"/>
    <s v="Wednesday"/>
    <n v="25000"/>
  </r>
  <r>
    <n v="207"/>
    <n v="191"/>
    <n v="1"/>
    <s v="EBE7AD85-117F-4781-A5E5-13920EE2B546"/>
    <n v="245000"/>
    <n v="2266.5966386554619"/>
    <n v="47"/>
    <x v="158"/>
    <n v="191"/>
    <s v="Stefano DiLonghi"/>
    <s v="Piazza Verona"/>
    <s v="Rome"/>
    <s v="IT        "/>
    <x v="6"/>
    <x v="0"/>
    <n v="19"/>
    <n v="196000"/>
    <n v="500"/>
    <n v="3150"/>
    <n v="1950"/>
    <n v="245000"/>
    <n v="201600"/>
    <n v="0.21527777777777771"/>
    <n v="43400"/>
    <x v="2"/>
    <d v="2017-10-29T00:00:00"/>
    <n v="3"/>
    <s v="Jarama"/>
    <x v="8"/>
    <s v="ITA"/>
    <s v="Wednesday"/>
    <n v="245000"/>
  </r>
  <r>
    <n v="208"/>
    <n v="192"/>
    <n v="1"/>
    <s v="B822FA7C-5FA5-4F17-A3A6-7199CB00F7F8"/>
    <n v="39500"/>
    <n v="2266.5966386554619"/>
    <n v="48"/>
    <x v="159"/>
    <n v="192"/>
    <s v="Antonio Maura"/>
    <s v="Puerta del Sol, 45"/>
    <s v="Madrid"/>
    <s v="ES        "/>
    <x v="5"/>
    <x v="0"/>
    <n v="93"/>
    <n v="31600"/>
    <n v="970"/>
    <n v="500"/>
    <n v="550"/>
    <n v="89000"/>
    <n v="33620"/>
    <n v="1.6472337894110649"/>
    <n v="55380"/>
    <x v="4"/>
    <d v="2017-10-29T00:00:00"/>
    <n v="21"/>
    <s v="TR3A"/>
    <x v="7"/>
    <s v="GBR"/>
    <s v="Wednesday"/>
    <n v="89000"/>
  </r>
  <r>
    <n v="209"/>
    <n v="192"/>
    <n v="2"/>
    <s v="1A210C04-C981-4EA4-83B9-A6E76B5B9BDB"/>
    <n v="49500"/>
    <n v="2266.5966386554619"/>
    <n v="48"/>
    <x v="159"/>
    <n v="192"/>
    <s v="Antonio Maura"/>
    <s v="Puerta del Sol, 45"/>
    <s v="Madrid"/>
    <s v="ES        "/>
    <x v="5"/>
    <x v="0"/>
    <n v="11"/>
    <n v="39600"/>
    <n v="500"/>
    <n v="500"/>
    <n v="550"/>
    <n v="89000"/>
    <n v="41150"/>
    <n v="1.162818955042527"/>
    <n v="47850"/>
    <x v="7"/>
    <d v="2016-07-03T00:00:00"/>
    <n v="2"/>
    <s v="911"/>
    <x v="1"/>
    <s v="GER"/>
    <s v="Wednesday"/>
    <n v="89000"/>
  </r>
  <r>
    <n v="210"/>
    <n v="193"/>
    <n v="1"/>
    <s v="ECD53BA8-3C63-4938-92C4-C955AEA6C4BC"/>
    <n v="23500"/>
    <n v="2266.5966386554619"/>
    <n v="49"/>
    <x v="160"/>
    <n v="193"/>
    <s v="Stefan Van Helsing"/>
    <s v="Nieuwstraat 5"/>
    <s v="Brussels"/>
    <s v="BE        "/>
    <x v="7"/>
    <x v="0"/>
    <n v="91"/>
    <n v="18800"/>
    <n v="1360"/>
    <n v="500"/>
    <n v="150"/>
    <n v="34000"/>
    <n v="20810"/>
    <n v="0.63382988947621333"/>
    <n v="13190"/>
    <x v="4"/>
    <d v="2017-11-01T00:00:00"/>
    <n v="21"/>
    <s v="Roadster"/>
    <x v="7"/>
    <s v="GBR"/>
    <s v="Monday"/>
    <n v="34000"/>
  </r>
  <r>
    <n v="211"/>
    <n v="193"/>
    <n v="2"/>
    <s v="26199C63-95B5-419B-A827-C0EEAF594A5B"/>
    <n v="10500"/>
    <n v="2266.5966386554619"/>
    <n v="49"/>
    <x v="160"/>
    <n v="193"/>
    <s v="Stefan Van Helsing"/>
    <s v="Nieuwstraat 5"/>
    <s v="Brussels"/>
    <s v="BE        "/>
    <x v="7"/>
    <x v="0"/>
    <n v="51"/>
    <n v="8400"/>
    <n v="500"/>
    <n v="750"/>
    <n v="150"/>
    <n v="34000"/>
    <n v="9800"/>
    <n v="2.4693877551020411"/>
    <n v="24200"/>
    <x v="4"/>
    <d v="2017-11-01T00:00:00"/>
    <n v="9"/>
    <s v="Giulia"/>
    <x v="5"/>
    <s v="ITA"/>
    <s v="Monday"/>
    <n v="34000"/>
  </r>
  <r>
    <n v="212"/>
    <n v="194"/>
    <n v="1"/>
    <s v="C9D8FCFE-4A88-479C-A2CA-E2474AF4D8DF"/>
    <n v="11500"/>
    <n v="750"/>
    <n v="50"/>
    <x v="161"/>
    <n v="194"/>
    <s v="Mme Anne Duport"/>
    <s v="90, Place de la Victoire 1945"/>
    <s v="Paris"/>
    <s v="FR        "/>
    <x v="2"/>
    <x v="0"/>
    <n v="52"/>
    <n v="9200"/>
    <n v="500"/>
    <n v="150"/>
    <n v="150"/>
    <n v="62700"/>
    <n v="10000"/>
    <n v="5.27"/>
    <n v="52700"/>
    <x v="1"/>
    <d v="2017-11-11T00:00:00"/>
    <n v="9"/>
    <s v="Spider"/>
    <x v="5"/>
    <s v="ITA"/>
    <s v="Sunday"/>
    <n v="62700"/>
  </r>
  <r>
    <n v="213"/>
    <n v="194"/>
    <n v="2"/>
    <s v="05D4115C-3F27-4059-BDC8-C0C3FFC85E8B"/>
    <n v="51200"/>
    <n v="2266.5966386554619"/>
    <n v="50"/>
    <x v="161"/>
    <n v="194"/>
    <s v="Mme Anne Duport"/>
    <s v="90, Place de la Victoire 1945"/>
    <s v="Paris"/>
    <s v="FR        "/>
    <x v="2"/>
    <x v="0"/>
    <n v="11"/>
    <n v="40960"/>
    <n v="1360"/>
    <n v="500"/>
    <n v="550"/>
    <n v="62700"/>
    <n v="43370"/>
    <n v="0.44569979248328329"/>
    <n v="19330"/>
    <x v="4"/>
    <d v="2017-11-11T00:00:00"/>
    <n v="2"/>
    <s v="911"/>
    <x v="1"/>
    <s v="GER"/>
    <s v="Sunday"/>
    <n v="62700"/>
  </r>
  <r>
    <n v="214"/>
    <n v="195"/>
    <n v="1"/>
    <s v="B503DD91-24FA-4F4A-AF49-1EB15347A33D"/>
    <n v="45950"/>
    <n v="2266.5966386554619"/>
    <n v="2"/>
    <x v="162"/>
    <n v="195"/>
    <s v="Snazzy Roadsters"/>
    <s v="102, Bleak Street"/>
    <s v="Birmingham"/>
    <s v="GB        "/>
    <x v="0"/>
    <x v="0"/>
    <n v="21"/>
    <n v="36760"/>
    <n v="500"/>
    <n v="150"/>
    <n v="550"/>
    <n v="45950"/>
    <n v="37960"/>
    <n v="0.21048472075869329"/>
    <n v="7990"/>
    <x v="4"/>
    <d v="2017-11-30T00:00:00"/>
    <n v="4"/>
    <s v="DB2"/>
    <x v="2"/>
    <s v="GBR"/>
    <s v="Friday"/>
    <n v="45950"/>
  </r>
  <r>
    <n v="215"/>
    <n v="196"/>
    <n v="1"/>
    <s v="896B39D5-8040-4947-94D0-0234B4E78B23"/>
    <n v="21600"/>
    <n v="2266.5966386554619"/>
    <n v="12"/>
    <x v="163"/>
    <n v="196"/>
    <s v="Glittering Prize Cars Ltd"/>
    <s v="46, Golders Green Road"/>
    <s v="London"/>
    <s v="GB        "/>
    <x v="0"/>
    <x v="0"/>
    <n v="12"/>
    <n v="17280"/>
    <n v="1360"/>
    <n v="750"/>
    <n v="150"/>
    <n v="21600"/>
    <n v="19540"/>
    <n v="0.1054247697031729"/>
    <n v="2060"/>
    <x v="0"/>
    <d v="2017-11-30T00:00:00"/>
    <n v="2"/>
    <s v="924"/>
    <x v="1"/>
    <s v="GER"/>
    <s v="Friday"/>
    <n v="21600"/>
  </r>
  <r>
    <n v="216"/>
    <n v="197"/>
    <n v="1"/>
    <s v="38264675-F235-412B-9B67-8F8CD86CF40D"/>
    <n v="25000"/>
    <n v="1250"/>
    <n v="22"/>
    <x v="164"/>
    <n v="197"/>
    <s v="Stan Collywobble"/>
    <s v="65, Townsend Road"/>
    <s v="Manchester"/>
    <s v="GB        "/>
    <x v="0"/>
    <x v="0"/>
    <n v="939"/>
    <n v="20000"/>
    <n v="500"/>
    <n v="750"/>
    <n v="150"/>
    <n v="25000"/>
    <n v="21400"/>
    <n v="0.16822429906542061"/>
    <n v="3600"/>
    <x v="4"/>
    <d v="2017-12-01T00:00:00"/>
    <n v="8.7155172413793096"/>
    <s v="DB9"/>
    <x v="2"/>
    <s v="GBR"/>
    <s v="Tuesday"/>
    <n v="25000"/>
  </r>
  <r>
    <n v="217"/>
    <n v="198"/>
    <n v="1"/>
    <s v="2657F22B-5D29-4A7A-B3F9-3A04C14D7C93"/>
    <n v="23600"/>
    <n v="2266.5966386554619"/>
    <n v="23"/>
    <x v="165"/>
    <n v="198"/>
    <s v="Glitz"/>
    <s v="FriedrichStrasse 579"/>
    <s v="Stuttgart"/>
    <s v="DE        "/>
    <x v="1"/>
    <x v="0"/>
    <n v="55"/>
    <n v="18880"/>
    <n v="1360"/>
    <n v="750"/>
    <n v="150"/>
    <n v="23600"/>
    <n v="21140"/>
    <n v="0.1163670766319773"/>
    <n v="2460"/>
    <x v="3"/>
    <d v="2017-12-01T00:00:00"/>
    <n v="10"/>
    <s v="Lichfield"/>
    <x v="11"/>
    <s v="GBR"/>
    <s v="Tuesday"/>
    <n v="23600"/>
  </r>
  <r>
    <n v="218"/>
    <n v="199"/>
    <n v="1"/>
    <s v="9BFDC1FA-8416-4F58-BE6C-3CCFA7A51860"/>
    <n v="99950"/>
    <n v="2266.5966386554619"/>
    <n v="32"/>
    <x v="166"/>
    <n v="199"/>
    <s v="Prestige Imports"/>
    <s v="Gran Via 26"/>
    <s v="Barcelona"/>
    <s v="ES        "/>
    <x v="5"/>
    <x v="0"/>
    <n v="33"/>
    <n v="79960"/>
    <n v="1490"/>
    <n v="750"/>
    <n v="750"/>
    <n v="99950"/>
    <n v="82950"/>
    <n v="0.20494273658830631"/>
    <n v="17000"/>
    <x v="4"/>
    <d v="2017-12-07T00:00:00"/>
    <n v="5"/>
    <s v="Arnage"/>
    <x v="3"/>
    <s v="GBR"/>
    <s v="Sunday"/>
    <n v="99950"/>
  </r>
  <r>
    <n v="219"/>
    <n v="200"/>
    <n v="1"/>
    <s v="A88F114F-3808-4B2D-92BE-BD43EEA71742"/>
    <n v="46900"/>
    <n v="2266.5966386554619"/>
    <n v="41"/>
    <x v="167"/>
    <n v="200"/>
    <s v="Sport.Car"/>
    <s v="Via Barberini 59"/>
    <s v="Rome"/>
    <s v="IT        "/>
    <x v="6"/>
    <x v="0"/>
    <n v="22"/>
    <n v="37520"/>
    <n v="500"/>
    <n v="1500"/>
    <n v="550"/>
    <n v="46900"/>
    <n v="40070"/>
    <n v="0.17045170950836039"/>
    <n v="6830"/>
    <x v="7"/>
    <d v="2017-12-07T00:00:00"/>
    <n v="4"/>
    <s v="DB4"/>
    <x v="2"/>
    <s v="GBR"/>
    <s v="Sunday"/>
    <n v="46900"/>
  </r>
  <r>
    <n v="220"/>
    <n v="201"/>
    <n v="1"/>
    <s v="1860F37A-EBC7-42E9-B339-3F6D6048322F"/>
    <n v="45950"/>
    <n v="2266.5966386554619"/>
    <n v="45"/>
    <x v="168"/>
    <n v="201"/>
    <s v="Pierre Blanc"/>
    <s v="52 Deirdre Lane"/>
    <s v="London"/>
    <s v="GB        "/>
    <x v="0"/>
    <x v="0"/>
    <n v="11"/>
    <n v="36760"/>
    <n v="2000"/>
    <n v="500"/>
    <n v="550"/>
    <n v="45950"/>
    <n v="39810"/>
    <n v="0.15423260487314749"/>
    <n v="6140"/>
    <x v="4"/>
    <d v="2017-12-09T00:00:00"/>
    <n v="2"/>
    <s v="911"/>
    <x v="1"/>
    <s v="GER"/>
    <s v="Sunday"/>
    <n v="45950"/>
  </r>
  <r>
    <n v="221"/>
    <n v="202"/>
    <n v="1"/>
    <s v="00E07EB4-4A3A-434F-B3FC-76A312BEEF5D"/>
    <n v="7550"/>
    <n v="2266.5966386554619"/>
    <n v="46"/>
    <x v="169"/>
    <n v="202"/>
    <s v="Capots Reluisants S.A."/>
    <s v="567 rue Lafayette"/>
    <s v="Paris"/>
    <s v="FR        "/>
    <x v="2"/>
    <x v="0"/>
    <n v="12"/>
    <n v="6040"/>
    <n v="500"/>
    <n v="750"/>
    <n v="150"/>
    <n v="7550"/>
    <n v="7440"/>
    <n v="1.4784946236559239E-2"/>
    <n v="110"/>
    <x v="0"/>
    <d v="2017-12-09T00:00:00"/>
    <n v="2"/>
    <s v="924"/>
    <x v="1"/>
    <s v="GER"/>
    <s v="Sunday"/>
    <n v="7550"/>
  </r>
  <r>
    <n v="222"/>
    <n v="203"/>
    <n v="1"/>
    <s v="C72ABA1C-D1FA-4A4B-9E16-9FE066D509BA"/>
    <n v="11990"/>
    <n v="900"/>
    <n v="48"/>
    <x v="170"/>
    <n v="203"/>
    <s v="Antonio Maura"/>
    <s v="Puerta del Sol, 45"/>
    <s v="Madrid"/>
    <s v="ES        "/>
    <x v="5"/>
    <x v="0"/>
    <n v="12"/>
    <n v="9592"/>
    <n v="500"/>
    <n v="750"/>
    <n v="150"/>
    <n v="11990"/>
    <n v="10992"/>
    <n v="9.0793304221251869E-2"/>
    <n v="998"/>
    <x v="6"/>
    <d v="2017-12-10T00:00:00"/>
    <n v="2"/>
    <s v="924"/>
    <x v="1"/>
    <s v="GER"/>
    <s v="Tuesday"/>
    <n v="11990"/>
  </r>
  <r>
    <n v="223"/>
    <n v="204"/>
    <n v="1"/>
    <s v="B8F3827A-5689-42B9-A1DE-26AFE7E2343E"/>
    <n v="12500"/>
    <n v="2266.5966386554619"/>
    <n v="36"/>
    <x v="171"/>
    <n v="204"/>
    <s v="Screamin' Wheels"/>
    <s v="1090 Reagan Road"/>
    <s v="Los Angeles"/>
    <s v="US        "/>
    <x v="3"/>
    <x v="1"/>
    <n v="13"/>
    <n v="10000"/>
    <n v="500"/>
    <n v="750"/>
    <n v="150"/>
    <n v="12500"/>
    <n v="11400"/>
    <n v="9.6491228070175517E-2"/>
    <n v="1100"/>
    <x v="4"/>
    <d v="2017-12-19T00:00:00"/>
    <n v="2"/>
    <s v="944"/>
    <x v="1"/>
    <s v="GER"/>
    <s v="Wednesday"/>
    <n v="12500"/>
  </r>
  <r>
    <n v="224"/>
    <n v="205"/>
    <n v="1"/>
    <s v="A21CAFB1-7242-42D1-80AC-E5D26941E2BE"/>
    <n v="7500"/>
    <n v="2266.5966386554619"/>
    <n v="37"/>
    <x v="172"/>
    <n v="205"/>
    <s v="Screamin' Wheels"/>
    <s v="4, Churchill Close"/>
    <s v="London"/>
    <s v="GB        "/>
    <x v="0"/>
    <x v="0"/>
    <n v="13"/>
    <n v="6000"/>
    <n v="500"/>
    <n v="750"/>
    <n v="150"/>
    <n v="7500"/>
    <n v="7400"/>
    <n v="1.3513513513513599E-2"/>
    <n v="100"/>
    <x v="1"/>
    <d v="2017-12-20T00:00:00"/>
    <n v="2"/>
    <s v="944"/>
    <x v="1"/>
    <s v="GER"/>
    <s v="Wednesday"/>
    <n v="7500"/>
  </r>
  <r>
    <n v="225"/>
    <n v="206"/>
    <n v="1"/>
    <s v="76D2E902-DF33-4BE5-8181-B9DA01869131"/>
    <n v="56850"/>
    <n v="2266.5966386554619"/>
    <n v="25"/>
    <x v="173"/>
    <n v="206"/>
    <s v="King Leer Cars"/>
    <s v="87, Lindisfarne Road"/>
    <s v="Newcastle"/>
    <s v="GB        "/>
    <x v="0"/>
    <x v="0"/>
    <n v="22"/>
    <n v="45480"/>
    <n v="500"/>
    <n v="1500"/>
    <n v="550"/>
    <n v="56850"/>
    <n v="48030"/>
    <n v="0.18363522798251089"/>
    <n v="8820"/>
    <x v="5"/>
    <d v="2017-12-30T00:00:00"/>
    <n v="4"/>
    <s v="DB4"/>
    <x v="2"/>
    <s v="GBR"/>
    <s v="Tuesday"/>
    <n v="56850"/>
  </r>
  <r>
    <n v="226"/>
    <n v="207"/>
    <n v="1"/>
    <s v="61B73BA2-9EA0-4DB9-8D89-6E8D2A5D32DA"/>
    <n v="62500"/>
    <n v="1250"/>
    <n v="21"/>
    <x v="173"/>
    <n v="207"/>
    <s v="Silver HubCaps"/>
    <s v="54, Didsbury Lane"/>
    <s v="Manchester"/>
    <s v="GB        "/>
    <x v="0"/>
    <x v="0"/>
    <n v="21"/>
    <n v="50000"/>
    <n v="500"/>
    <n v="750"/>
    <n v="550"/>
    <n v="62500"/>
    <n v="51800"/>
    <n v="0.20656370656370651"/>
    <n v="10700"/>
    <x v="2"/>
    <d v="2017-12-30T00:00:00"/>
    <n v="4"/>
    <s v="DB2"/>
    <x v="2"/>
    <s v="GBR"/>
    <s v="Tuesday"/>
    <n v="62500"/>
  </r>
  <r>
    <n v="227"/>
    <n v="208"/>
    <n v="1"/>
    <s v="8BED3FBE-29EA-48AF-A8CE-7770F51A548F"/>
    <n v="42500"/>
    <n v="2266.5966386554619"/>
    <n v="26"/>
    <x v="173"/>
    <n v="208"/>
    <s v="Honest Pete Motors"/>
    <s v="76, Williams Street"/>
    <s v="Stoke"/>
    <s v="GB        "/>
    <x v="0"/>
    <x v="0"/>
    <n v="22"/>
    <n v="34000"/>
    <n v="2000"/>
    <n v="150"/>
    <n v="550"/>
    <n v="42500"/>
    <n v="36700"/>
    <n v="0.1580381471389645"/>
    <n v="5800"/>
    <x v="4"/>
    <d v="2017-12-31T00:00:00"/>
    <n v="4"/>
    <s v="DB4"/>
    <x v="2"/>
    <s v="GBR"/>
    <s v="Tuesday"/>
    <n v="42500"/>
  </r>
  <r>
    <n v="228"/>
    <n v="209"/>
    <n v="1"/>
    <s v="B0559A26-5CE0-4C70-89EC-C73C0837B1E8"/>
    <n v="65450"/>
    <n v="1250"/>
    <n v="51"/>
    <x v="173"/>
    <n v="209"/>
    <s v="Screamin' Wheels"/>
    <s v="10500 The Potomac"/>
    <s v="Washington"/>
    <s v="US        "/>
    <x v="3"/>
    <x v="1"/>
    <n v="25"/>
    <n v="52360"/>
    <n v="500"/>
    <n v="1500"/>
    <n v="750"/>
    <n v="65450"/>
    <n v="55110"/>
    <n v="0.1876247504990021"/>
    <n v="10340"/>
    <x v="4"/>
    <d v="2017-12-31T00:00:00"/>
    <n v="4"/>
    <s v="DB9"/>
    <x v="2"/>
    <s v="GBR"/>
    <s v="Tuesday"/>
    <n v="65450"/>
  </r>
  <r>
    <n v="229"/>
    <n v="210"/>
    <n v="1"/>
    <s v="2CE57C5E-98DE-402F-884A-A6227FD7FB5F"/>
    <n v="56950"/>
    <n v="2266.5966386554619"/>
    <n v="52"/>
    <x v="173"/>
    <n v="210"/>
    <s v="Clubbing Cars"/>
    <s v="91, Acid Avenue"/>
    <s v="Manchester"/>
    <s v="GB        "/>
    <x v="0"/>
    <x v="0"/>
    <n v="22"/>
    <n v="45560"/>
    <n v="500"/>
    <n v="1500"/>
    <n v="550"/>
    <n v="56950"/>
    <n v="48110"/>
    <n v="0.1837455830388692"/>
    <n v="8840"/>
    <x v="8"/>
    <d v="2017-12-30T00:00:00"/>
    <n v="4"/>
    <s v="DB4"/>
    <x v="2"/>
    <s v="GBR"/>
    <s v="Tuesday"/>
    <n v="56950"/>
  </r>
  <r>
    <n v="230"/>
    <n v="211"/>
    <n v="1"/>
    <s v="99DF9E69-9DAF-4D81-8334-D7058F1030E2"/>
    <n v="1950"/>
    <n v="2266.5966386554619"/>
    <n v="53"/>
    <x v="174"/>
    <n v="211"/>
    <s v="Jean-Yves Truffaut"/>
    <s v="87 Rue du Combat"/>
    <s v="Paris"/>
    <s v="FR        "/>
    <x v="2"/>
    <x v="0"/>
    <n v="99"/>
    <n v="1560"/>
    <n v="500"/>
    <n v="750"/>
    <n v="150"/>
    <n v="1950"/>
    <n v="2960"/>
    <n v="-0.34121621621621617"/>
    <n v="-1010"/>
    <x v="2"/>
    <d v="2018-01-01T00:00:00"/>
    <n v="23"/>
    <s v="203"/>
    <x v="10"/>
    <s v="GER"/>
    <s v="Friday"/>
    <n v="1950"/>
  </r>
  <r>
    <n v="231"/>
    <n v="212"/>
    <n v="1"/>
    <s v="D231E90A-140A-4623-AA79-16970966DDF3"/>
    <n v="1150"/>
    <n v="2266.5966386554619"/>
    <n v="54"/>
    <x v="174"/>
    <n v="212"/>
    <s v="Mr. Evan Telford"/>
    <s v="7, Godzilla Street"/>
    <s v="Manchester"/>
    <s v="GB        "/>
    <x v="0"/>
    <x v="0"/>
    <n v="56"/>
    <n v="920"/>
    <n v="500"/>
    <n v="750"/>
    <n v="150"/>
    <n v="1150"/>
    <n v="2320"/>
    <n v="-0.50431034482758619"/>
    <n v="-1170"/>
    <x v="4"/>
    <d v="2018-01-01T00:00:00"/>
    <n v="10"/>
    <s v="Princess"/>
    <x v="11"/>
    <s v="GBR"/>
    <s v="Friday"/>
    <n v="1150"/>
  </r>
  <r>
    <n v="232"/>
    <n v="213"/>
    <n v="1"/>
    <s v="26122425-FE14-4318-8713-15C8F9EED630"/>
    <n v="11550"/>
    <n v="2266.5966386554619"/>
    <n v="55"/>
    <x v="174"/>
    <n v="213"/>
    <s v="Ralph Obermann"/>
    <s v="BerolinaStrasse 210"/>
    <s v="Berlin"/>
    <s v="DE        "/>
    <x v="1"/>
    <x v="0"/>
    <n v="54"/>
    <n v="9240"/>
    <n v="500"/>
    <n v="750"/>
    <n v="150"/>
    <n v="11550"/>
    <n v="10640"/>
    <n v="8.5526315789473673E-2"/>
    <n v="910"/>
    <x v="3"/>
    <d v="2018-01-01T00:00:00"/>
    <n v="9"/>
    <s v="Giulietta"/>
    <x v="5"/>
    <s v="ITA"/>
    <s v="Friday"/>
    <n v="11550"/>
  </r>
  <r>
    <n v="233"/>
    <n v="214"/>
    <n v="1"/>
    <s v="80B21E0F-66E3-4582-838A-D7EC560C7C0B"/>
    <n v="12570"/>
    <n v="500"/>
    <n v="45"/>
    <x v="174"/>
    <n v="214"/>
    <s v="Pierre Blanc"/>
    <s v="52 Deirdre Lane"/>
    <s v="London"/>
    <s v="GB        "/>
    <x v="0"/>
    <x v="0"/>
    <n v="87"/>
    <n v="10056"/>
    <n v="2000"/>
    <n v="500"/>
    <n v="150"/>
    <n v="12570"/>
    <n v="12706"/>
    <n v="-1.070360459625375E-2"/>
    <n v="-136"/>
    <x v="4"/>
    <d v="2018-01-01T00:00:00"/>
    <n v="21"/>
    <s v="TR5"/>
    <x v="7"/>
    <s v="GBR"/>
    <s v="Friday"/>
    <n v="12570"/>
  </r>
  <r>
    <n v="234"/>
    <n v="215"/>
    <n v="1"/>
    <s v="8D9BF815-FAE4-47CE-ADBB-33339D382319"/>
    <n v="9890"/>
    <n v="2266.5966386554619"/>
    <n v="46"/>
    <x v="174"/>
    <n v="215"/>
    <s v="Capots Reluisants S.A."/>
    <s v="567 rue Lafayette"/>
    <s v="Paris"/>
    <s v="FR        "/>
    <x v="2"/>
    <x v="0"/>
    <n v="89"/>
    <n v="7912"/>
    <n v="500"/>
    <n v="225"/>
    <n v="150"/>
    <n v="9890"/>
    <n v="8787"/>
    <n v="0.12552634573802199"/>
    <n v="1103"/>
    <x v="4"/>
    <d v="2018-01-01T00:00:00"/>
    <n v="21"/>
    <s v="TR7"/>
    <x v="7"/>
    <s v="GBR"/>
    <s v="Friday"/>
    <n v="9890"/>
  </r>
  <r>
    <n v="235"/>
    <n v="216"/>
    <n v="1"/>
    <s v="F6C384B6-B768-4031-AC12-81C8CE37049E"/>
    <n v="56950"/>
    <n v="2266.5966386554619"/>
    <n v="12"/>
    <x v="175"/>
    <n v="216"/>
    <s v="Glittering Prize Cars Ltd"/>
    <s v="46, Golders Green Road"/>
    <s v="London"/>
    <s v="GB        "/>
    <x v="0"/>
    <x v="0"/>
    <n v="32"/>
    <n v="45560"/>
    <n v="2000"/>
    <n v="500"/>
    <n v="550"/>
    <n v="56950"/>
    <n v="48610"/>
    <n v="0.17156963587739149"/>
    <n v="8340"/>
    <x v="3"/>
    <d v="2018-01-01T00:00:00"/>
    <n v="5"/>
    <s v="Flying Spur"/>
    <x v="3"/>
    <s v="GBR"/>
    <s v="Wednesday"/>
    <n v="56950"/>
  </r>
  <r>
    <n v="236"/>
    <n v="217"/>
    <n v="1"/>
    <s v="F9EF8BCC-5744-4EBC-91AD-739775C597D9"/>
    <n v="45950"/>
    <n v="2266.5966386554619"/>
    <n v="32"/>
    <x v="175"/>
    <n v="217"/>
    <s v="Prestige Imports"/>
    <s v="Gran Via 26"/>
    <s v="Barcelona"/>
    <s v="ES        "/>
    <x v="5"/>
    <x v="0"/>
    <n v="85"/>
    <n v="36760"/>
    <n v="660"/>
    <n v="1500"/>
    <n v="550"/>
    <n v="45950"/>
    <n v="39470"/>
    <n v="0.16417532303014951"/>
    <n v="6480"/>
    <x v="9"/>
    <d v="2018-01-01T00:00:00"/>
    <n v="20"/>
    <s v="M600"/>
    <x v="20"/>
    <s v="GBR"/>
    <s v="Wednesday"/>
    <n v="45950"/>
  </r>
  <r>
    <n v="237"/>
    <n v="218"/>
    <n v="1"/>
    <s v="457046F9-68AC-468E-9C5E-9C1B957FE9B9"/>
    <n v="950"/>
    <n v="25"/>
    <n v="49"/>
    <x v="175"/>
    <n v="218"/>
    <s v="Stefan Van Helsing"/>
    <s v="Nieuwstraat 5"/>
    <s v="Brussels"/>
    <s v="BE        "/>
    <x v="7"/>
    <x v="0"/>
    <n v="96"/>
    <n v="760"/>
    <n v="500"/>
    <n v="750"/>
    <n v="150"/>
    <n v="950"/>
    <n v="2160"/>
    <n v="-0.56018518518518512"/>
    <n v="-1210"/>
    <x v="2"/>
    <d v="2018-01-01T00:00:00"/>
    <n v="23"/>
    <s v="205"/>
    <x v="10"/>
    <s v="GER"/>
    <s v="Wednesday"/>
    <n v="950"/>
  </r>
  <r>
    <n v="238"/>
    <n v="219"/>
    <n v="1"/>
    <s v="3DCFE242-5286-404C-A37E-5207E6F51BB1"/>
    <n v="21550"/>
    <n v="1250"/>
    <n v="35"/>
    <x v="175"/>
    <n v="219"/>
    <s v="Laurent Saint Yves"/>
    <s v="49, Rue Quicampoix"/>
    <s v="Marseille"/>
    <s v="FR        "/>
    <x v="2"/>
    <x v="0"/>
    <n v="74"/>
    <n v="17240"/>
    <n v="970"/>
    <n v="750"/>
    <n v="150"/>
    <n v="21550"/>
    <n v="19110"/>
    <n v="0.1276818419675563"/>
    <n v="2440"/>
    <x v="4"/>
    <d v="2018-01-01T00:00:00"/>
    <n v="16"/>
    <s v="XK120"/>
    <x v="6"/>
    <s v="GBR"/>
    <s v="Wednesday"/>
    <n v="21550"/>
  </r>
  <r>
    <n v="239"/>
    <n v="220"/>
    <n v="1"/>
    <s v="BF9128E0-D61A-4214-8128-44A9880E20C2"/>
    <n v="5950"/>
    <n v="2266.5966386554619"/>
    <n v="21"/>
    <x v="176"/>
    <n v="220"/>
    <s v="Silver HubCaps"/>
    <s v="54, Didsbury Lane"/>
    <s v="Manchester"/>
    <s v="GB        "/>
    <x v="0"/>
    <x v="0"/>
    <n v="52"/>
    <n v="4760"/>
    <n v="500"/>
    <n v="225"/>
    <n v="150"/>
    <n v="5950"/>
    <n v="5635"/>
    <n v="5.5900621118012417E-2"/>
    <n v="315"/>
    <x v="4"/>
    <d v="2018-01-01T00:00:00"/>
    <n v="9"/>
    <s v="Spider"/>
    <x v="5"/>
    <s v="ITA"/>
    <s v="Monday"/>
    <n v="5950"/>
  </r>
  <r>
    <n v="240"/>
    <n v="221"/>
    <n v="1"/>
    <s v="808F1237-9F5C-484F-8E14-63FF713A864D"/>
    <n v="365000"/>
    <n v="2266.5966386554619"/>
    <n v="13"/>
    <x v="176"/>
    <n v="221"/>
    <s v="La Bagnole de Luxe"/>
    <s v="890 Place de la Concorde"/>
    <s v="Paris"/>
    <s v="FR        "/>
    <x v="2"/>
    <x v="0"/>
    <n v="63"/>
    <n v="284000"/>
    <n v="9250"/>
    <n v="7500"/>
    <n v="1950"/>
    <n v="355000"/>
    <n v="302700"/>
    <n v="0.17277832837793211"/>
    <n v="52300"/>
    <x v="0"/>
    <d v="2018-01-01T00:00:00"/>
    <n v="12"/>
    <s v="57C"/>
    <x v="15"/>
    <s v="FRA"/>
    <s v="Monday"/>
    <n v="355000"/>
  </r>
  <r>
    <n v="241"/>
    <n v="222"/>
    <n v="1"/>
    <s v="790E96BC-2F59-4B8F-9DE2-6BB65F92216B"/>
    <n v="120000"/>
    <n v="2266.5966386554619"/>
    <n v="8"/>
    <x v="177"/>
    <n v="222"/>
    <s v="M. Pierre Dubois"/>
    <s v="14, Rue De La Hutte"/>
    <s v="Marseille"/>
    <s v="FR        "/>
    <x v="2"/>
    <x v="0"/>
    <n v="41"/>
    <n v="96000"/>
    <n v="2175"/>
    <n v="750"/>
    <n v="750"/>
    <n v="120000"/>
    <n v="99675"/>
    <n v="0.20391271632806629"/>
    <n v="20325"/>
    <x v="4"/>
    <d v="2018-02-01T00:00:00"/>
    <n v="6"/>
    <s v="Silver Seraph"/>
    <x v="9"/>
    <s v="GBR"/>
    <s v="Saturday"/>
    <n v="120000"/>
  </r>
  <r>
    <n v="242"/>
    <n v="223"/>
    <n v="1"/>
    <s v="88975E00-70FD-44B6-9A1F-9E3B9CCE4382"/>
    <n v="17850"/>
    <n v="750"/>
    <n v="6"/>
    <x v="178"/>
    <n v="223"/>
    <s v="Le Luxe en Motion"/>
    <s v="Avenue des Indes, 26"/>
    <s v="Geneva"/>
    <s v="CH        "/>
    <x v="4"/>
    <x v="0"/>
    <n v="15"/>
    <n v="14280"/>
    <n v="1360"/>
    <n v="150"/>
    <n v="150"/>
    <n v="121500"/>
    <n v="15940"/>
    <n v="6.6223337515683811"/>
    <n v="105560"/>
    <x v="2"/>
    <d v="2018-02-01T00:00:00"/>
    <n v="2"/>
    <s v="928"/>
    <x v="1"/>
    <s v="GER"/>
    <s v="Sunday"/>
    <n v="121500"/>
  </r>
  <r>
    <n v="243"/>
    <n v="223"/>
    <n v="2"/>
    <s v="6218BE0E-185B-4B12-8696-AA976EA81B29"/>
    <n v="103650"/>
    <n v="2266.5966386554619"/>
    <n v="6"/>
    <x v="178"/>
    <n v="223"/>
    <s v="Le Luxe en Motion"/>
    <s v="Avenue des Indes, 26"/>
    <s v="Geneva"/>
    <s v="CH        "/>
    <x v="4"/>
    <x v="0"/>
    <n v="26"/>
    <n v="82920"/>
    <n v="1490"/>
    <n v="750"/>
    <n v="750"/>
    <n v="121500"/>
    <n v="85910"/>
    <n v="0.41427074845768819"/>
    <n v="35590"/>
    <x v="8"/>
    <d v="2018-02-01T00:00:00"/>
    <n v="4"/>
    <s v="Virage"/>
    <x v="2"/>
    <s v="GBR"/>
    <s v="Sunday"/>
    <n v="121500"/>
  </r>
  <r>
    <n v="244"/>
    <n v="224"/>
    <n v="1"/>
    <s v="03AC7842-CA66-4AC0-92AD-F538494D1FAE"/>
    <n v="182500"/>
    <n v="17500"/>
    <n v="9"/>
    <x v="179"/>
    <n v="224"/>
    <s v="Sondra Horowitz"/>
    <s v="10040 Great Western Road"/>
    <s v="Los Angeles"/>
    <s v="US        "/>
    <x v="3"/>
    <x v="1"/>
    <n v="35"/>
    <n v="146000"/>
    <n v="5500"/>
    <n v="1500"/>
    <n v="1950"/>
    <n v="182500"/>
    <n v="154950"/>
    <n v="0.1777992900935785"/>
    <n v="27550"/>
    <x v="6"/>
    <d v="2018-02-01T00:00:00"/>
    <n v="6"/>
    <s v="Phantom"/>
    <x v="9"/>
    <s v="GBR"/>
    <s v="Monday"/>
    <n v="182500"/>
  </r>
  <r>
    <n v="245"/>
    <n v="225"/>
    <n v="1"/>
    <s v="7FF88424-96A2-4149-ABF3-21AC9FBCDD4C"/>
    <n v="22500"/>
    <n v="2266.5966386554619"/>
    <n v="56"/>
    <x v="180"/>
    <n v="225"/>
    <s v="ImpressTheNeighbours.Com"/>
    <s v="47, Edgbaston Row"/>
    <s v="Birmingham"/>
    <s v="GB        "/>
    <x v="0"/>
    <x v="0"/>
    <n v="57"/>
    <n v="18000"/>
    <n v="1360"/>
    <n v="750"/>
    <n v="150"/>
    <n v="22500"/>
    <n v="20260"/>
    <n v="0.11056268509378089"/>
    <n v="2240"/>
    <x v="4"/>
    <d v="2018-02-01T00:00:00"/>
    <n v="10"/>
    <s v="Cambridge"/>
    <x v="11"/>
    <s v="GBR"/>
    <s v="Tuesday"/>
    <n v="22500"/>
  </r>
  <r>
    <n v="246"/>
    <n v="226"/>
    <n v="1"/>
    <s v="48437CA9-988E-42EA-94F8-DC2D6DA48BA7"/>
    <n v="21500"/>
    <n v="2266.5966386554619"/>
    <n v="57"/>
    <x v="181"/>
    <n v="226"/>
    <s v="Wladimir Lacroix"/>
    <s v="3, Rue de la Vie en Rose"/>
    <s v="Lyon"/>
    <s v="FR        "/>
    <x v="2"/>
    <x v="0"/>
    <n v="59"/>
    <n v="17200"/>
    <n v="500"/>
    <n v="750"/>
    <n v="150"/>
    <n v="21500"/>
    <n v="18600"/>
    <n v="0.15591397849462371"/>
    <n v="2900"/>
    <x v="4"/>
    <d v="2018-02-01T00:00:00"/>
    <n v="11"/>
    <s v="Alpina"/>
    <x v="19"/>
    <s v="GER"/>
    <s v="Wednesday"/>
    <n v="21500"/>
  </r>
  <r>
    <n v="247"/>
    <n v="227"/>
    <n v="1"/>
    <s v="2319EA77-F4D9-4E34-9771-C42DCA3E210C"/>
    <n v="189500"/>
    <n v="1500"/>
    <n v="46"/>
    <x v="182"/>
    <n v="227"/>
    <s v="Capots Reluisants S.A."/>
    <s v="567 rue Lafayette"/>
    <s v="Paris"/>
    <s v="FR        "/>
    <x v="2"/>
    <x v="0"/>
    <n v="34"/>
    <n v="151600"/>
    <n v="500"/>
    <n v="1500"/>
    <n v="1950"/>
    <n v="189500"/>
    <n v="155550"/>
    <n v="0.21825779492124719"/>
    <n v="33950"/>
    <x v="1"/>
    <d v="2016-10-03T00:00:00"/>
    <n v="5"/>
    <s v="Brooklands"/>
    <x v="3"/>
    <s v="GBR"/>
    <s v="Saturday"/>
    <n v="189500"/>
  </r>
  <r>
    <n v="248"/>
    <n v="228"/>
    <n v="1"/>
    <s v="A6FCB276-6311-4B3E-9C99-23F197952F1C"/>
    <n v="55450"/>
    <n v="1500"/>
    <n v="58"/>
    <x v="182"/>
    <n v="228"/>
    <s v="Raimondo Delattre"/>
    <s v="9, Place de Chatelet"/>
    <s v="Geneva"/>
    <s v="CH        "/>
    <x v="4"/>
    <x v="0"/>
    <n v="32"/>
    <n v="44360"/>
    <n v="490"/>
    <n v="225"/>
    <n v="550"/>
    <n v="55450"/>
    <n v="45625"/>
    <n v="0.21534246575342461"/>
    <n v="9825"/>
    <x v="0"/>
    <d v="2015-09-30T00:00:00"/>
    <n v="5"/>
    <s v="Flying Spur"/>
    <x v="3"/>
    <s v="GBR"/>
    <s v="Saturday"/>
    <n v="55450"/>
  </r>
  <r>
    <n v="249"/>
    <n v="229"/>
    <n v="1"/>
    <s v="89C3293F-F665-4E93-9929-315CBA3DD498"/>
    <n v="98950"/>
    <n v="2266.5966386554619"/>
    <n v="59"/>
    <x v="182"/>
    <n v="229"/>
    <s v="Boris Spry"/>
    <s v="53, Odeon Way"/>
    <s v="Birmingham"/>
    <s v="GB        "/>
    <x v="0"/>
    <x v="0"/>
    <n v="36"/>
    <n v="79160"/>
    <n v="1490"/>
    <n v="750"/>
    <n v="750"/>
    <n v="98950"/>
    <n v="82150"/>
    <n v="0.20450395617772379"/>
    <n v="16800"/>
    <x v="1"/>
    <d v="2018-02-10T00:00:00"/>
    <n v="6"/>
    <s v="Ghost"/>
    <x v="9"/>
    <s v="GBR"/>
    <s v="Saturday"/>
    <n v="98950"/>
  </r>
  <r>
    <n v="250"/>
    <n v="230"/>
    <n v="1"/>
    <s v="59650ADF-0886-43B4-B360-3A79E0CA327E"/>
    <n v="355000"/>
    <n v="2266.5966386554619"/>
    <n v="60"/>
    <x v="182"/>
    <n v="230"/>
    <s v="Andrea Tarbuck"/>
    <s v="2,Newcastle Lane"/>
    <s v="Birmingham"/>
    <s v="GB        "/>
    <x v="0"/>
    <x v="0"/>
    <n v="63"/>
    <n v="284000"/>
    <n v="9250"/>
    <n v="2200"/>
    <n v="1950"/>
    <n v="355000"/>
    <n v="297400"/>
    <n v="0.19367854741089441"/>
    <n v="57600"/>
    <x v="1"/>
    <d v="2018-02-10T00:00:00"/>
    <n v="12"/>
    <s v="57C"/>
    <x v="15"/>
    <s v="FRA"/>
    <s v="Saturday"/>
    <n v="355000"/>
  </r>
  <r>
    <n v="251"/>
    <n v="231"/>
    <n v="1"/>
    <s v="4BA7F44F-422D-4AD2-84B3-2AE4F0028DB8"/>
    <n v="6000"/>
    <n v="2266.5966386554619"/>
    <n v="28"/>
    <x v="183"/>
    <n v="231"/>
    <s v="Vive La Vitesse"/>
    <s v="56, Rue Noiratre"/>
    <s v="Marseille"/>
    <s v="FR        "/>
    <x v="2"/>
    <x v="0"/>
    <n v="56"/>
    <n v="4800"/>
    <n v="500"/>
    <n v="750"/>
    <n v="150"/>
    <n v="6000"/>
    <n v="6200"/>
    <n v="-3.2258064516128997E-2"/>
    <n v="-200"/>
    <x v="4"/>
    <d v="2018-03-01T00:00:00"/>
    <n v="10"/>
    <s v="Princess"/>
    <x v="11"/>
    <s v="GBR"/>
    <s v="Monday"/>
    <n v="6000"/>
  </r>
  <r>
    <n v="252"/>
    <n v="232"/>
    <n v="1"/>
    <s v="1DDF23D7-3CB8-49C7-A19B-2A9C5AB23ADF"/>
    <n v="5690"/>
    <n v="750"/>
    <n v="39"/>
    <x v="183"/>
    <n v="232"/>
    <s v="Alicia Almodovar"/>
    <s v="Palacia Del Sol"/>
    <s v="Barcelona"/>
    <s v="ES        "/>
    <x v="5"/>
    <x v="0"/>
    <n v="54"/>
    <n v="4552"/>
    <n v="500"/>
    <n v="750"/>
    <n v="150"/>
    <n v="5690"/>
    <n v="5952"/>
    <n v="-4.4018817204301119E-2"/>
    <n v="-262"/>
    <x v="3"/>
    <d v="2018-03-01T00:00:00"/>
    <n v="9"/>
    <s v="Giulietta"/>
    <x v="5"/>
    <s v="ITA"/>
    <s v="Monday"/>
    <n v="5690"/>
  </r>
  <r>
    <n v="253"/>
    <n v="233"/>
    <n v="1"/>
    <s v="A2201698-CA26-428A-988F-ABB4A8893E21"/>
    <n v="56900"/>
    <n v="500"/>
    <n v="17"/>
    <x v="184"/>
    <n v="233"/>
    <s v="Theo Kowalski"/>
    <s v="1000 East 51st Street"/>
    <s v="New York"/>
    <s v="US        "/>
    <x v="3"/>
    <x v="1"/>
    <n v="25"/>
    <n v="45520"/>
    <n v="1360"/>
    <n v="500"/>
    <n v="550"/>
    <n v="56900"/>
    <n v="47930"/>
    <n v="0.18714792405591479"/>
    <n v="8970"/>
    <x v="7"/>
    <d v="2018-03-01T00:00:00"/>
    <n v="4"/>
    <s v="DB9"/>
    <x v="2"/>
    <s v="GBR"/>
    <s v="Thursday"/>
    <n v="56900"/>
  </r>
  <r>
    <n v="254"/>
    <n v="234"/>
    <n v="1"/>
    <s v="F556C096-7EFE-4827-9AFF-2FD0416B1C9B"/>
    <n v="145000"/>
    <n v="2266.5966386554619"/>
    <n v="48"/>
    <x v="184"/>
    <n v="234"/>
    <s v="Antonio Maura"/>
    <s v="Puerta del Sol, 45"/>
    <s v="Madrid"/>
    <s v="ES        "/>
    <x v="5"/>
    <x v="0"/>
    <n v="20"/>
    <n v="116000"/>
    <n v="9250"/>
    <n v="1500"/>
    <n v="1950"/>
    <n v="368000"/>
    <n v="128700"/>
    <n v="1.8593628593628591"/>
    <n v="239300"/>
    <x v="4"/>
    <d v="2018-03-01T00:00:00"/>
    <n v="3"/>
    <s v="400GT"/>
    <x v="8"/>
    <s v="ITA"/>
    <s v="Thursday"/>
    <n v="368000"/>
  </r>
  <r>
    <n v="255"/>
    <n v="234"/>
    <n v="2"/>
    <s v="9868BF47-F113-4721-BF95-26FEF8DD51D2"/>
    <n v="99500"/>
    <n v="2266.5966386554619"/>
    <n v="48"/>
    <x v="184"/>
    <n v="234"/>
    <s v="Antonio Maura"/>
    <s v="Puerta del Sol, 45"/>
    <s v="Madrid"/>
    <s v="ES        "/>
    <x v="5"/>
    <x v="0"/>
    <n v="1"/>
    <n v="79600"/>
    <n v="500"/>
    <n v="1500"/>
    <n v="750"/>
    <n v="368000"/>
    <n v="82350"/>
    <n v="3.4687310261080762"/>
    <n v="285650"/>
    <x v="7"/>
    <d v="2018-03-01T00:00:00"/>
    <n v="1"/>
    <s v="Daytona"/>
    <x v="0"/>
    <s v="ITA"/>
    <s v="Thursday"/>
    <n v="368000"/>
  </r>
  <r>
    <n v="256"/>
    <n v="234"/>
    <n v="3"/>
    <s v="C7086D43-16DA-444F-A461-76DA9C479425"/>
    <n v="123500"/>
    <n v="750"/>
    <n v="48"/>
    <x v="184"/>
    <n v="234"/>
    <s v="Antonio Maura"/>
    <s v="Puerta del Sol, 45"/>
    <s v="Madrid"/>
    <s v="ES        "/>
    <x v="5"/>
    <x v="0"/>
    <n v="5"/>
    <n v="98800"/>
    <n v="2175"/>
    <n v="1500"/>
    <n v="750"/>
    <n v="368000"/>
    <n v="103225"/>
    <n v="2.565027851780092"/>
    <n v="264775"/>
    <x v="9"/>
    <d v="2018-03-08T00:00:00"/>
    <n v="1"/>
    <s v="Dino"/>
    <x v="0"/>
    <s v="ITA"/>
    <s v="Thursday"/>
    <n v="368000"/>
  </r>
  <r>
    <n v="257"/>
    <n v="235"/>
    <n v="1"/>
    <s v="20041639-9549-415A-AEC2-7159352E8CB7"/>
    <n v="310000"/>
    <n v="2266.5966386554619"/>
    <n v="46"/>
    <x v="185"/>
    <n v="235"/>
    <s v="Capots Reluisants S.A."/>
    <s v="567 rue Lafayette"/>
    <s v="Paris"/>
    <s v="FR        "/>
    <x v="2"/>
    <x v="0"/>
    <n v="8"/>
    <n v="248000"/>
    <n v="9250"/>
    <n v="7900"/>
    <n v="1950"/>
    <n v="310000"/>
    <n v="267100"/>
    <n v="0.16061400224634961"/>
    <n v="42900"/>
    <x v="7"/>
    <d v="2018-03-08T00:00:00"/>
    <n v="1"/>
    <s v="F50"/>
    <x v="0"/>
    <s v="ITA"/>
    <s v="Thursday"/>
    <n v="310000"/>
  </r>
  <r>
    <n v="258"/>
    <n v="236"/>
    <n v="1"/>
    <s v="AF51E444-D0BE-477F-8834-615824E0A89C"/>
    <n v="9800"/>
    <n v="35"/>
    <n v="45"/>
    <x v="186"/>
    <n v="236"/>
    <s v="Pierre Blanc"/>
    <s v="52 Deirdre Lane"/>
    <s v="London"/>
    <s v="GB        "/>
    <x v="0"/>
    <x v="0"/>
    <n v="13"/>
    <n v="7840"/>
    <n v="500"/>
    <n v="750"/>
    <n v="150"/>
    <n v="9800"/>
    <n v="9240"/>
    <n v="6.0606060606060552E-2"/>
    <n v="560"/>
    <x v="5"/>
    <d v="2018-03-08T00:00:00"/>
    <n v="2"/>
    <s v="944"/>
    <x v="1"/>
    <s v="GER"/>
    <s v="Monday"/>
    <n v="9800"/>
  </r>
  <r>
    <n v="259"/>
    <n v="237"/>
    <n v="1"/>
    <s v="FAB39B43-A811-4410-A69A-707C35C767E7"/>
    <n v="15950"/>
    <n v="2266.5966386554619"/>
    <n v="39"/>
    <x v="187"/>
    <n v="237"/>
    <s v="Alicia Almodovar"/>
    <s v="Palacia Del Sol"/>
    <s v="Barcelona"/>
    <s v="ES        "/>
    <x v="5"/>
    <x v="0"/>
    <n v="15"/>
    <n v="12760"/>
    <n v="500"/>
    <n v="500"/>
    <n v="150"/>
    <n v="15950"/>
    <n v="13910"/>
    <n v="0.14665708123652041"/>
    <n v="2040"/>
    <x v="7"/>
    <d v="2018-04-01T00:00:00"/>
    <n v="2"/>
    <s v="928"/>
    <x v="1"/>
    <s v="GER"/>
    <s v="Monday"/>
    <n v="15950"/>
  </r>
  <r>
    <n v="260"/>
    <n v="238"/>
    <n v="1"/>
    <s v="A23F2E70-66D3-44A1-982C-ADE1ECA9CC30"/>
    <n v="255000"/>
    <n v="2266.5966386554619"/>
    <n v="31"/>
    <x v="188"/>
    <n v="238"/>
    <s v="Kieran O'Harris"/>
    <s v="71, Askwith Ave"/>
    <s v="Liverpool"/>
    <s v="GB        "/>
    <x v="0"/>
    <x v="0"/>
    <n v="18"/>
    <n v="204000"/>
    <n v="2000"/>
    <n v="150"/>
    <n v="1950"/>
    <n v="267950"/>
    <n v="208100"/>
    <n v="0.28760211436809219"/>
    <n v="59850"/>
    <x v="4"/>
    <d v="2018-04-01T00:00:00"/>
    <n v="3"/>
    <s v="Diabolo"/>
    <x v="8"/>
    <s v="ITA"/>
    <s v="Monday"/>
    <n v="267950"/>
  </r>
  <r>
    <n v="261"/>
    <n v="238"/>
    <n v="2"/>
    <s v="BFC6861C-8D2E-40C8-A4F7-07F9E41056DC"/>
    <n v="12950"/>
    <n v="2266.5966386554619"/>
    <n v="31"/>
    <x v="188"/>
    <n v="238"/>
    <s v="Kieran O'Harris"/>
    <s v="71, Askwith Ave"/>
    <s v="Liverpool"/>
    <s v="GB        "/>
    <x v="0"/>
    <x v="0"/>
    <n v="48"/>
    <n v="10360"/>
    <n v="1360"/>
    <n v="750"/>
    <n v="150"/>
    <n v="267950"/>
    <n v="12620"/>
    <n v="20.23217115689382"/>
    <n v="255330"/>
    <x v="6"/>
    <d v="2018-04-01T00:00:00"/>
    <n v="8"/>
    <s v="250SL"/>
    <x v="4"/>
    <s v="GER"/>
    <s v="Monday"/>
    <n v="267950"/>
  </r>
  <r>
    <n v="262"/>
    <n v="239"/>
    <n v="1"/>
    <s v="07E4BA14-7B78-4B11-9A11-1520460A5631"/>
    <n v="155000"/>
    <n v="2266.5966386554619"/>
    <n v="25"/>
    <x v="189"/>
    <n v="239"/>
    <s v="King Leer Cars"/>
    <s v="87, Lindisfarne Road"/>
    <s v="Newcastle"/>
    <s v="GB        "/>
    <x v="0"/>
    <x v="0"/>
    <n v="6"/>
    <n v="124000"/>
    <n v="3950"/>
    <n v="3150"/>
    <n v="1950"/>
    <n v="155000"/>
    <n v="133050"/>
    <n v="0.16497557309282221"/>
    <n v="21950"/>
    <x v="4"/>
    <d v="2018-04-01T00:00:00"/>
    <n v="1"/>
    <s v="Mondial"/>
    <x v="0"/>
    <s v="ITA"/>
    <s v="Tuesday"/>
    <n v="155000"/>
  </r>
  <r>
    <n v="263"/>
    <n v="240"/>
    <n v="1"/>
    <s v="9E98DDEF-D2A3-4BEC-99DD-BEFEFC11E5EE"/>
    <n v="2500"/>
    <n v="2266.5966386554619"/>
    <n v="36"/>
    <x v="190"/>
    <n v="240"/>
    <s v="Screamin' Wheels"/>
    <s v="1090 Reagan Road"/>
    <s v="Los Angeles"/>
    <s v="US        "/>
    <x v="3"/>
    <x v="1"/>
    <n v="56"/>
    <n v="2000"/>
    <n v="500"/>
    <n v="750"/>
    <n v="150"/>
    <n v="2500"/>
    <n v="3400"/>
    <n v="-0.26470588235294112"/>
    <n v="-900"/>
    <x v="0"/>
    <d v="2018-04-01T00:00:00"/>
    <n v="10"/>
    <s v="Princess"/>
    <x v="11"/>
    <s v="GBR"/>
    <s v="Wednesday"/>
    <n v="2500"/>
  </r>
  <r>
    <n v="264"/>
    <n v="241"/>
    <n v="1"/>
    <s v="43195E1A-46B2-4554-B1A9-C849B1C0B53B"/>
    <n v="9950"/>
    <n v="2266.5966386554619"/>
    <n v="28"/>
    <x v="191"/>
    <n v="241"/>
    <s v="Vive La Vitesse"/>
    <s v="56, Rue Noiratre"/>
    <s v="Marseille"/>
    <s v="FR        "/>
    <x v="2"/>
    <x v="0"/>
    <n v="53"/>
    <n v="7960"/>
    <n v="500"/>
    <n v="750"/>
    <n v="150"/>
    <n v="9950"/>
    <n v="9360"/>
    <n v="6.3034188034188032E-2"/>
    <n v="590"/>
    <x v="1"/>
    <d v="2017-11-11T00:00:00"/>
    <n v="9"/>
    <s v="1750"/>
    <x v="5"/>
    <s v="ITA"/>
    <s v="Sunday"/>
    <n v="9950"/>
  </r>
  <r>
    <n v="265"/>
    <n v="242"/>
    <n v="1"/>
    <s v="7808CA65-E449-4280-A128-F5B581F47B8F"/>
    <n v="39500"/>
    <n v="2450"/>
    <n v="36"/>
    <x v="191"/>
    <n v="242"/>
    <s v="Screamin' Wheels"/>
    <s v="1090 Reagan Road"/>
    <s v="Los Angeles"/>
    <s v="US        "/>
    <x v="3"/>
    <x v="1"/>
    <n v="45"/>
    <n v="31600"/>
    <n v="500"/>
    <n v="750"/>
    <n v="550"/>
    <n v="39500"/>
    <n v="33400"/>
    <n v="0.18263473053892221"/>
    <n v="6100"/>
    <x v="6"/>
    <d v="2018-04-01T00:00:00"/>
    <n v="8"/>
    <s v="280SL"/>
    <x v="4"/>
    <s v="GER"/>
    <s v="Sunday"/>
    <n v="39500"/>
  </r>
  <r>
    <n v="266"/>
    <n v="243"/>
    <n v="1"/>
    <s v="B2D76C72-FA30-40AE-9AB9-DFB47560348C"/>
    <n v="23500"/>
    <n v="2266.5966386554619"/>
    <n v="38"/>
    <x v="191"/>
    <n v="243"/>
    <s v="Executive Motor Delight"/>
    <s v="17, The Brambles"/>
    <s v="London"/>
    <s v="GB        "/>
    <x v="0"/>
    <x v="0"/>
    <n v="46"/>
    <n v="18800"/>
    <n v="1360"/>
    <n v="750"/>
    <n v="150"/>
    <n v="23500"/>
    <n v="21060"/>
    <n v="0.1158594491927825"/>
    <n v="2440"/>
    <x v="4"/>
    <d v="2018-04-01T00:00:00"/>
    <n v="8"/>
    <s v="350SL"/>
    <x v="4"/>
    <s v="GER"/>
    <s v="Sunday"/>
    <n v="23500"/>
  </r>
  <r>
    <n v="267"/>
    <n v="244"/>
    <n v="1"/>
    <s v="C19B3F44-9EA7-49FF-953A-86BF48B55615"/>
    <n v="45950"/>
    <n v="2266.5966386554619"/>
    <n v="39"/>
    <x v="191"/>
    <n v="244"/>
    <s v="Alicia Almodovar"/>
    <s v="Palacia Del Sol"/>
    <s v="Barcelona"/>
    <s v="ES        "/>
    <x v="5"/>
    <x v="0"/>
    <n v="24"/>
    <n v="36760"/>
    <n v="500"/>
    <n v="750"/>
    <n v="550"/>
    <n v="45950"/>
    <n v="38560"/>
    <n v="0.19164937759336101"/>
    <n v="7390"/>
    <x v="4"/>
    <d v="2018-04-01T00:00:00"/>
    <n v="4"/>
    <s v="DB6"/>
    <x v="2"/>
    <s v="GBR"/>
    <s v="Sunday"/>
    <n v="45950"/>
  </r>
  <r>
    <n v="268"/>
    <n v="245"/>
    <n v="1"/>
    <s v="A0F4D013-88EB-4692-B5EE-6BA800593036"/>
    <n v="55000"/>
    <n v="750"/>
    <n v="51"/>
    <x v="191"/>
    <n v="245"/>
    <s v="Screamin' Wheels"/>
    <s v="10500 The Potomac"/>
    <s v="Washington"/>
    <s v="US        "/>
    <x v="3"/>
    <x v="1"/>
    <n v="25"/>
    <n v="44000"/>
    <n v="500"/>
    <n v="750"/>
    <n v="550"/>
    <n v="55000"/>
    <n v="45800"/>
    <n v="0.2008733624454149"/>
    <n v="9200"/>
    <x v="1"/>
    <d v="2018-04-01T00:00:00"/>
    <n v="4"/>
    <s v="DB9"/>
    <x v="2"/>
    <s v="GBR"/>
    <s v="Sunday"/>
    <n v="55000"/>
  </r>
  <r>
    <n v="269"/>
    <n v="246"/>
    <n v="1"/>
    <s v="9CD9439F-E15F-4469-BE82-7A4041633A50"/>
    <n v="100000"/>
    <n v="2266.5966386554619"/>
    <n v="56"/>
    <x v="192"/>
    <n v="246"/>
    <s v="ImpressTheNeighbours.Com"/>
    <s v="47, Edgbaston Row"/>
    <s v="Birmingham"/>
    <s v="GB        "/>
    <x v="0"/>
    <x v="0"/>
    <n v="26"/>
    <n v="80000"/>
    <n v="500"/>
    <n v="750"/>
    <n v="750"/>
    <n v="100000"/>
    <n v="82000"/>
    <n v="0.21951219512195119"/>
    <n v="18000"/>
    <x v="1"/>
    <d v="2018-04-01T00:00:00"/>
    <n v="4"/>
    <s v="Virage"/>
    <x v="2"/>
    <s v="GBR"/>
    <s v="Friday"/>
    <n v="100000"/>
  </r>
  <r>
    <n v="270"/>
    <n v="247"/>
    <n v="1"/>
    <s v="87A6B5EF-1E2B-49CA-85D7-263BC7E32189"/>
    <n v="44885"/>
    <n v="2266.5966386554619"/>
    <n v="61"/>
    <x v="192"/>
    <n v="247"/>
    <s v="Beltway Prestige Driving"/>
    <s v="1, Smithy Close"/>
    <s v="Liverpool"/>
    <s v="GB        "/>
    <x v="0"/>
    <x v="0"/>
    <n v="24"/>
    <n v="35908"/>
    <n v="2000"/>
    <n v="750"/>
    <n v="550"/>
    <n v="44885"/>
    <n v="39208"/>
    <n v="0.1447918792083249"/>
    <n v="5677"/>
    <x v="2"/>
    <d v="2018-04-01T00:00:00"/>
    <n v="4"/>
    <s v="DB6"/>
    <x v="2"/>
    <s v="GBR"/>
    <s v="Friday"/>
    <n v="44885"/>
  </r>
  <r>
    <n v="271"/>
    <n v="248"/>
    <n v="1"/>
    <s v="361E0EFF-56B8-4E0A-A1DD-41D4A51BF704"/>
    <n v="61500"/>
    <n v="2266.5966386554619"/>
    <n v="62"/>
    <x v="193"/>
    <n v="248"/>
    <s v="Bling Motors"/>
    <s v="2, Arndale Lane"/>
    <s v="Liverpool"/>
    <s v="GB        "/>
    <x v="0"/>
    <x v="0"/>
    <n v="78"/>
    <n v="49200"/>
    <n v="500"/>
    <n v="750"/>
    <n v="550"/>
    <n v="61500"/>
    <n v="51000"/>
    <n v="0.20588235294117641"/>
    <n v="10500"/>
    <x v="4"/>
    <d v="2018-04-01T00:00:00"/>
    <n v="17"/>
    <s v="V12"/>
    <x v="12"/>
    <s v="ITA"/>
    <s v="Sunday"/>
    <n v="61500"/>
  </r>
  <r>
    <n v="272"/>
    <n v="249"/>
    <n v="1"/>
    <s v="B89AF48B-4BB9-409B-876B-941E51D19381"/>
    <n v="950"/>
    <n v="2266.5966386554619"/>
    <n v="52"/>
    <x v="194"/>
    <n v="249"/>
    <s v="Clubbing Cars"/>
    <s v="91, Acid Avenue"/>
    <s v="Manchester"/>
    <s v="GB        "/>
    <x v="0"/>
    <x v="0"/>
    <n v="98"/>
    <n v="760"/>
    <n v="500"/>
    <n v="750"/>
    <n v="150"/>
    <n v="950"/>
    <n v="2160"/>
    <n v="-0.56018518518518512"/>
    <n v="-1210"/>
    <x v="4"/>
    <d v="2018-04-01T00:00:00"/>
    <n v="23"/>
    <s v="404"/>
    <x v="10"/>
    <s v="GER"/>
    <s v="Monday"/>
    <n v="950"/>
  </r>
  <r>
    <n v="273"/>
    <n v="250"/>
    <n v="1"/>
    <s v="A326183E-7D45-4CF2-A353-7177A3EAB71F"/>
    <n v="195000"/>
    <n v="2266.5966386554619"/>
    <n v="63"/>
    <x v="195"/>
    <n v="250"/>
    <s v="Smooth Rocking Chrome"/>
    <s v="Via Stromboli 2"/>
    <s v="Milan"/>
    <s v="IT        "/>
    <x v="6"/>
    <x v="0"/>
    <n v="5"/>
    <n v="156000"/>
    <n v="9250"/>
    <n v="750"/>
    <n v="1950"/>
    <n v="195000"/>
    <n v="167950"/>
    <n v="0.1610598392378684"/>
    <n v="27050"/>
    <x v="2"/>
    <d v="2018-04-01T00:00:00"/>
    <n v="1"/>
    <s v="Dino"/>
    <x v="0"/>
    <s v="ITA"/>
    <s v="Tuesday"/>
    <n v="195000"/>
  </r>
  <r>
    <n v="274"/>
    <n v="251"/>
    <n v="1"/>
    <s v="266404D4-FBC5-4DC6-BB7C-A2ED7246D6D7"/>
    <n v="52500"/>
    <n v="1575"/>
    <n v="64"/>
    <x v="196"/>
    <n v="251"/>
    <s v="YO! Speed!"/>
    <s v="Plaza Mayor"/>
    <s v="Barcelona"/>
    <s v="ES        "/>
    <x v="5"/>
    <x v="0"/>
    <n v="21"/>
    <n v="42000"/>
    <n v="500"/>
    <n v="750"/>
    <n v="550"/>
    <n v="52500"/>
    <n v="43800"/>
    <n v="0.1986301369863013"/>
    <n v="8700"/>
    <x v="6"/>
    <d v="2018-04-01T00:00:00"/>
    <n v="4"/>
    <s v="DB2"/>
    <x v="2"/>
    <s v="GBR"/>
    <s v="Sunday"/>
    <n v="52500"/>
  </r>
  <r>
    <n v="275"/>
    <n v="252"/>
    <n v="1"/>
    <s v="798C76AF-985B-4B9F-B24A-4B4311AE2A08"/>
    <n v="1350"/>
    <n v="2266.5966386554619"/>
    <n v="3"/>
    <x v="197"/>
    <n v="252"/>
    <s v="Birmingham Executive Prestige Vehicles"/>
    <s v="96, Aardvark Avenue"/>
    <s v="Birmingham"/>
    <s v="GB        "/>
    <x v="0"/>
    <x v="0"/>
    <n v="65"/>
    <n v="1080"/>
    <n v="500"/>
    <n v="750"/>
    <n v="150"/>
    <n v="1350"/>
    <n v="2480"/>
    <n v="-0.45564516129032262"/>
    <n v="-1130"/>
    <x v="4"/>
    <d v="2018-05-01T00:00:00"/>
    <n v="13"/>
    <s v="Rosalie"/>
    <x v="13"/>
    <s v="FRA"/>
    <s v="Thursday"/>
    <n v="1350"/>
  </r>
  <r>
    <n v="276"/>
    <n v="253"/>
    <n v="1"/>
    <s v="71C9EDC5-7897-4CCE-9B2F-5B04BEDC36D0"/>
    <n v="2495"/>
    <n v="45"/>
    <n v="21"/>
    <x v="197"/>
    <n v="253"/>
    <s v="Silver HubCaps"/>
    <s v="54, Didsbury Lane"/>
    <s v="Manchester"/>
    <s v="GB        "/>
    <x v="0"/>
    <x v="0"/>
    <n v="98"/>
    <n v="1996"/>
    <n v="500"/>
    <n v="750"/>
    <n v="150"/>
    <n v="2495"/>
    <n v="3396"/>
    <n v="-0.26531213191990582"/>
    <n v="-901"/>
    <x v="5"/>
    <d v="2018-05-01T00:00:00"/>
    <n v="23"/>
    <s v="404"/>
    <x v="10"/>
    <s v="GER"/>
    <s v="Thursday"/>
    <n v="2495"/>
  </r>
  <r>
    <n v="277"/>
    <n v="254"/>
    <n v="1"/>
    <s v="61F8CF9A-F53C-4386-9BF8-578F54547CD2"/>
    <n v="269500"/>
    <n v="2266.5966386554619"/>
    <n v="35"/>
    <x v="198"/>
    <n v="254"/>
    <s v="Laurent Saint Yves"/>
    <s v="49, Rue Quicampoix"/>
    <s v="Marseille"/>
    <s v="FR        "/>
    <x v="2"/>
    <x v="0"/>
    <n v="7"/>
    <n v="215600"/>
    <n v="5500"/>
    <n v="1500"/>
    <n v="1950"/>
    <n v="269500"/>
    <n v="224550"/>
    <n v="0.20017813404586951"/>
    <n v="44950"/>
    <x v="9"/>
    <d v="2018-05-01T00:00:00"/>
    <n v="1"/>
    <s v="F40"/>
    <x v="0"/>
    <s v="ITA"/>
    <s v="Tuesday"/>
    <n v="269500"/>
  </r>
  <r>
    <n v="278"/>
    <n v="255"/>
    <n v="1"/>
    <s v="FF62897D-E06C-4BC1-B5EA-E6BE415B0CD1"/>
    <n v="195000"/>
    <n v="2266.5966386554619"/>
    <n v="65"/>
    <x v="198"/>
    <n v="255"/>
    <s v="Stephany Rousso"/>
    <s v="10180 Orange County Place"/>
    <s v="Los Angeles"/>
    <s v="US        "/>
    <x v="3"/>
    <x v="1"/>
    <n v="8"/>
    <n v="156000"/>
    <n v="3950"/>
    <n v="1500"/>
    <n v="1950"/>
    <n v="195000"/>
    <n v="163400"/>
    <n v="0.19339045287637699"/>
    <n v="31600"/>
    <x v="6"/>
    <d v="2018-05-01T00:00:00"/>
    <n v="1"/>
    <s v="F50"/>
    <x v="0"/>
    <s v="ITA"/>
    <s v="Tuesday"/>
    <n v="195000"/>
  </r>
  <r>
    <n v="279"/>
    <n v="256"/>
    <n v="1"/>
    <s v="9555FF33-EE29-4A81-854A-69F6485BB216"/>
    <n v="25950"/>
    <n v="1250"/>
    <n v="66"/>
    <x v="199"/>
    <n v="256"/>
    <s v="My Shiny Sports Car Ltd."/>
    <s v="1091, Cambride Street"/>
    <s v="London"/>
    <s v="GB        "/>
    <x v="0"/>
    <x v="0"/>
    <n v="85"/>
    <n v="20760"/>
    <n v="1360"/>
    <n v="750"/>
    <n v="150"/>
    <n v="25950"/>
    <n v="23020"/>
    <n v="0.12728062554300609"/>
    <n v="2930"/>
    <x v="4"/>
    <d v="2018-05-01T00:00:00"/>
    <n v="20"/>
    <s v="M600"/>
    <x v="20"/>
    <s v="GBR"/>
    <s v="Wednesday"/>
    <n v="25950"/>
  </r>
  <r>
    <n v="280"/>
    <n v="257"/>
    <n v="1"/>
    <s v="EA1B19C6-631A-4683-9E29-1BC601FC850E"/>
    <n v="9990"/>
    <n v="2266.5966386554619"/>
    <n v="61"/>
    <x v="199"/>
    <n v="257"/>
    <s v="Beltway Prestige Driving"/>
    <s v="1, Smithy Close"/>
    <s v="Liverpool"/>
    <s v="GB        "/>
    <x v="0"/>
    <x v="0"/>
    <n v="86"/>
    <n v="7992"/>
    <n v="500"/>
    <n v="750"/>
    <n v="150"/>
    <n v="9990"/>
    <n v="9392"/>
    <n v="6.3671209540034024E-2"/>
    <n v="598"/>
    <x v="4"/>
    <d v="2018-05-01T00:00:00"/>
    <n v="21"/>
    <s v="TR4"/>
    <x v="7"/>
    <s v="GBR"/>
    <s v="Wednesday"/>
    <n v="9990"/>
  </r>
  <r>
    <n v="281"/>
    <n v="258"/>
    <n v="1"/>
    <s v="27C180A1-7C39-4E88-B5DE-ACD0C9594F3C"/>
    <n v="135000"/>
    <n v="2266.5966386554619"/>
    <n v="63"/>
    <x v="200"/>
    <n v="258"/>
    <s v="Smooth Rocking Chrome"/>
    <s v="Via Stromboli 2"/>
    <s v="Milan"/>
    <s v="IT        "/>
    <x v="6"/>
    <x v="0"/>
    <n v="9"/>
    <n v="108000"/>
    <n v="5500"/>
    <n v="5600"/>
    <n v="1950"/>
    <n v="135000"/>
    <n v="121050"/>
    <n v="0.11524163568773239"/>
    <n v="13950"/>
    <x v="2"/>
    <d v="2018-05-01T00:00:00"/>
    <n v="1"/>
    <s v="360"/>
    <x v="0"/>
    <s v="ITA"/>
    <s v="Friday"/>
    <n v="135000"/>
  </r>
  <r>
    <n v="282"/>
    <n v="259"/>
    <n v="1"/>
    <s v="A0098927-0C7D-4CC8-8022-57A24433EF61"/>
    <n v="1250"/>
    <n v="2266.5966386554619"/>
    <n v="62"/>
    <x v="200"/>
    <n v="259"/>
    <s v="Bling Motors"/>
    <s v="2, Arndale Lane"/>
    <s v="Liverpool"/>
    <s v="GB        "/>
    <x v="0"/>
    <x v="0"/>
    <n v="95"/>
    <n v="1000"/>
    <n v="500"/>
    <n v="225"/>
    <n v="150"/>
    <n v="1250"/>
    <n v="1875"/>
    <n v="-0.33333333333333343"/>
    <n v="-625"/>
    <x v="0"/>
    <d v="2017-06-01T00:00:00"/>
    <n v="22"/>
    <s v="600"/>
    <x v="21"/>
    <s v="GER"/>
    <s v="Friday"/>
    <n v="1250"/>
  </r>
  <r>
    <n v="283"/>
    <n v="260"/>
    <n v="1"/>
    <s v="9743A284-D059-4EEB-98AB-ACDE88C1E9F5"/>
    <n v="6590"/>
    <n v="750"/>
    <n v="66"/>
    <x v="200"/>
    <n v="260"/>
    <s v="My Shiny Sports Car Ltd."/>
    <s v="1091, Cambride Street"/>
    <s v="London"/>
    <s v="GB        "/>
    <x v="0"/>
    <x v="0"/>
    <n v="86"/>
    <n v="5272"/>
    <n v="500"/>
    <n v="750"/>
    <n v="150"/>
    <n v="6590"/>
    <n v="6672"/>
    <n v="-1.229016786570747E-2"/>
    <n v="-82"/>
    <x v="9"/>
    <d v="2017-06-08T00:00:00"/>
    <n v="21"/>
    <s v="TR4"/>
    <x v="7"/>
    <s v="GBR"/>
    <s v="Friday"/>
    <n v="6590"/>
  </r>
  <r>
    <n v="284"/>
    <n v="261"/>
    <n v="1"/>
    <s v="BEC34DF7-3E37-4322-A406-04BB5DF2A0FE"/>
    <n v="89500"/>
    <n v="2266.5966386554619"/>
    <n v="35"/>
    <x v="200"/>
    <n v="261"/>
    <s v="Laurent Saint Yves"/>
    <s v="49, Rue Quicampoix"/>
    <s v="Marseille"/>
    <s v="FR        "/>
    <x v="2"/>
    <x v="0"/>
    <n v="14"/>
    <n v="71600"/>
    <n v="1490"/>
    <n v="750"/>
    <n v="750"/>
    <n v="89500"/>
    <n v="74590"/>
    <n v="0.19989274701702639"/>
    <n v="14910"/>
    <x v="4"/>
    <d v="2018-05-01T00:00:00"/>
    <n v="2"/>
    <s v="959"/>
    <x v="1"/>
    <s v="GER"/>
    <s v="Friday"/>
    <n v="89500"/>
  </r>
  <r>
    <n v="285"/>
    <n v="262"/>
    <n v="1"/>
    <s v="F075AC9E-1124-4194-A05F-683F9D553335"/>
    <n v="18500"/>
    <n v="2266.5966386554619"/>
    <n v="31"/>
    <x v="200"/>
    <n v="262"/>
    <s v="Kieran O'Harris"/>
    <s v="71, Askwith Ave"/>
    <s v="Liverpool"/>
    <s v="GB        "/>
    <x v="0"/>
    <x v="0"/>
    <n v="54"/>
    <n v="14800"/>
    <n v="500"/>
    <n v="750"/>
    <n v="150"/>
    <n v="18500"/>
    <n v="16200"/>
    <n v="0.1419753086419753"/>
    <n v="2300"/>
    <x v="1"/>
    <d v="2018-05-01T00:00:00"/>
    <n v="9"/>
    <s v="Giulietta"/>
    <x v="5"/>
    <s v="ITA"/>
    <s v="Friday"/>
    <n v="18500"/>
  </r>
  <r>
    <n v="286"/>
    <n v="263"/>
    <n v="1"/>
    <s v="05F6C06A-9CD8-448B-9F67-FDBC0A7CEDCE"/>
    <n v="3575"/>
    <n v="750"/>
    <n v="24"/>
    <x v="201"/>
    <n v="263"/>
    <s v="Matterhorn Motors"/>
    <s v="1, Rue de la Colline"/>
    <s v="Lausanne"/>
    <s v="CH        "/>
    <x v="4"/>
    <x v="0"/>
    <n v="53"/>
    <n v="2860"/>
    <n v="500"/>
    <n v="750"/>
    <n v="150"/>
    <n v="3575"/>
    <n v="4260"/>
    <n v="-0.16079812206572769"/>
    <n v="-685"/>
    <x v="4"/>
    <d v="2018-06-01T00:00:00"/>
    <n v="9"/>
    <s v="1750"/>
    <x v="5"/>
    <s v="ITA"/>
    <s v="Sunday"/>
    <n v="3575"/>
  </r>
  <r>
    <n v="287"/>
    <n v="264"/>
    <n v="1"/>
    <s v="B1ABF9BD-1FBC-4E9A-BCCC-0B9AFEE5CFF1"/>
    <n v="6950"/>
    <n v="2266.5966386554619"/>
    <n v="67"/>
    <x v="201"/>
    <n v="264"/>
    <s v="Flash Voitures"/>
    <s v="Place Anspach 85"/>
    <s v="Brussels"/>
    <s v="BE        "/>
    <x v="7"/>
    <x v="0"/>
    <n v="86"/>
    <n v="5560"/>
    <n v="500"/>
    <n v="457"/>
    <n v="150"/>
    <n v="6950"/>
    <n v="6667"/>
    <n v="4.2447877606119677E-2"/>
    <n v="283"/>
    <x v="0"/>
    <d v="2018-06-01T00:00:00"/>
    <n v="21"/>
    <s v="TR4"/>
    <x v="7"/>
    <s v="GBR"/>
    <s v="Sunday"/>
    <n v="6950"/>
  </r>
  <r>
    <n v="288"/>
    <n v="265"/>
    <n v="1"/>
    <s v="607CA291-F642-4CBD-967B-7A36DF45D150"/>
    <n v="26500"/>
    <n v="2266.5966386554619"/>
    <n v="2"/>
    <x v="202"/>
    <n v="265"/>
    <s v="Snazzy Roadsters"/>
    <s v="102, Bleak Street"/>
    <s v="Birmingham"/>
    <s v="GB        "/>
    <x v="0"/>
    <x v="0"/>
    <n v="75"/>
    <n v="21200"/>
    <n v="500"/>
    <n v="750"/>
    <n v="150"/>
    <n v="26500"/>
    <n v="22600"/>
    <n v="0.17256637168141589"/>
    <n v="3900"/>
    <x v="3"/>
    <d v="2018-06-01T00:00:00"/>
    <n v="16"/>
    <s v="XK150"/>
    <x v="6"/>
    <s v="GBR"/>
    <s v="Saturday"/>
    <n v="26500"/>
  </r>
  <r>
    <n v="289"/>
    <n v="266"/>
    <n v="1"/>
    <s v="695E6D94-12E6-49BC-8E23-29AC3EB38D93"/>
    <n v="33500"/>
    <n v="2266.5966386554619"/>
    <n v="68"/>
    <x v="203"/>
    <n v="266"/>
    <s v="Paul Blasio"/>
    <s v="50500 JFK Square"/>
    <s v="New York"/>
    <s v="US        "/>
    <x v="3"/>
    <x v="1"/>
    <n v="71"/>
    <n v="26800"/>
    <n v="2000"/>
    <n v="750"/>
    <n v="550"/>
    <n v="33500"/>
    <n v="30100"/>
    <n v="0.1129568106312293"/>
    <n v="3400"/>
    <x v="4"/>
    <d v="2018-06-01T00:00:00"/>
    <n v="16"/>
    <s v="Mark V"/>
    <x v="6"/>
    <s v="GBR"/>
    <s v="Monday"/>
    <n v="33500"/>
  </r>
  <r>
    <n v="290"/>
    <n v="267"/>
    <n v="1"/>
    <s v="614ED49B-6DA9-4BFE-9560-3DB52A6593CD"/>
    <n v="24500"/>
    <n v="2266.5966386554619"/>
    <n v="12"/>
    <x v="204"/>
    <n v="267"/>
    <s v="Glittering Prize Cars Ltd"/>
    <s v="46, Golders Green Road"/>
    <s v="London"/>
    <s v="GB        "/>
    <x v="0"/>
    <x v="0"/>
    <n v="72"/>
    <n v="19600"/>
    <n v="1360"/>
    <n v="750"/>
    <n v="150"/>
    <n v="24500"/>
    <n v="21860"/>
    <n v="0.1207685269899359"/>
    <n v="2640"/>
    <x v="2"/>
    <d v="2018-06-01T00:00:00"/>
    <n v="16"/>
    <s v="Mark X"/>
    <x v="6"/>
    <s v="GBR"/>
    <s v="Friday"/>
    <n v="24500"/>
  </r>
  <r>
    <n v="291"/>
    <n v="268"/>
    <n v="1"/>
    <s v="740A7CB4-BF3F-46FD-98F3-D85748E5B9BA"/>
    <n v="99500"/>
    <n v="500"/>
    <n v="25"/>
    <x v="205"/>
    <n v="268"/>
    <s v="King Leer Cars"/>
    <s v="87, Lindisfarne Road"/>
    <s v="Newcastle"/>
    <s v="GB        "/>
    <x v="0"/>
    <x v="0"/>
    <n v="31"/>
    <n v="79600"/>
    <n v="500"/>
    <n v="1050"/>
    <n v="750"/>
    <n v="99500"/>
    <n v="81900"/>
    <n v="0.2148962148962148"/>
    <n v="17600"/>
    <x v="3"/>
    <d v="2018-06-01T00:00:00"/>
    <n v="5"/>
    <s v="Continental"/>
    <x v="3"/>
    <s v="GBR"/>
    <s v="Saturday"/>
    <n v="99500"/>
  </r>
  <r>
    <n v="292"/>
    <n v="269"/>
    <n v="1"/>
    <s v="D0B8D738-B33D-4F7F-BA25-46EC06DEB8E2"/>
    <n v="99990"/>
    <n v="2266.5966386554619"/>
    <n v="38"/>
    <x v="206"/>
    <n v="269"/>
    <s v="Executive Motor Delight"/>
    <s v="17, The Brambles"/>
    <s v="London"/>
    <s v="GB        "/>
    <x v="0"/>
    <x v="0"/>
    <n v="21"/>
    <n v="79992"/>
    <n v="2000"/>
    <n v="750"/>
    <n v="750"/>
    <n v="99990"/>
    <n v="83492"/>
    <n v="0.19759977003784801"/>
    <n v="16498"/>
    <x v="7"/>
    <d v="2018-07-01T00:00:00"/>
    <n v="4"/>
    <s v="DB2"/>
    <x v="2"/>
    <s v="GBR"/>
    <s v="Thursday"/>
    <n v="99990"/>
  </r>
  <r>
    <n v="293"/>
    <n v="270"/>
    <n v="1"/>
    <s v="23FDFA0D-C905-41A6-B95A-D5A3517293D8"/>
    <n v="6950"/>
    <n v="1250"/>
    <n v="69"/>
    <x v="207"/>
    <n v="270"/>
    <s v="Mary Blackhouse"/>
    <s v="260, Oxford Avenue"/>
    <s v="London"/>
    <s v="GB        "/>
    <x v="0"/>
    <x v="0"/>
    <n v="51"/>
    <n v="5560"/>
    <n v="500"/>
    <n v="1050"/>
    <n v="150"/>
    <n v="6950"/>
    <n v="7260"/>
    <n v="-4.2699724517906379E-2"/>
    <n v="-310"/>
    <x v="4"/>
    <d v="2018-07-01T00:00:00"/>
    <n v="9"/>
    <s v="Giulia"/>
    <x v="5"/>
    <s v="ITA"/>
    <s v="Tuesday"/>
    <n v="6950"/>
  </r>
  <r>
    <n v="294"/>
    <n v="271"/>
    <n v="1"/>
    <s v="6A140D65-C354-48F6-A92E-40FF36CF1216"/>
    <n v="10500"/>
    <n v="1500"/>
    <n v="70"/>
    <x v="208"/>
    <n v="271"/>
    <s v="Maurice Dujardin"/>
    <s v="10, Daltrey Lane"/>
    <s v="London"/>
    <s v="GB        "/>
    <x v="0"/>
    <x v="0"/>
    <n v="54"/>
    <n v="8400"/>
    <n v="500"/>
    <n v="750"/>
    <n v="150"/>
    <n v="10500"/>
    <n v="9800"/>
    <n v="7.1428571428571397E-2"/>
    <n v="700"/>
    <x v="4"/>
    <d v="2018-07-01T00:00:00"/>
    <n v="9"/>
    <s v="Giulietta"/>
    <x v="5"/>
    <s v="ITA"/>
    <s v="Sunday"/>
    <n v="10500"/>
  </r>
  <r>
    <n v="295"/>
    <n v="272"/>
    <n v="1"/>
    <s v="4AFC6EDF-49EA-4D57-85AF-D60734328922"/>
    <n v="33450"/>
    <n v="2266.5966386554619"/>
    <n v="62"/>
    <x v="209"/>
    <n v="272"/>
    <s v="Bling Motors"/>
    <s v="2, Arndale Lane"/>
    <s v="Liverpool"/>
    <s v="GB        "/>
    <x v="0"/>
    <x v="0"/>
    <n v="45"/>
    <n v="26760"/>
    <n v="1360"/>
    <n v="750"/>
    <n v="550"/>
    <n v="33450"/>
    <n v="29420"/>
    <n v="0.13698164513936109"/>
    <n v="4030"/>
    <x v="4"/>
    <d v="2018-07-01T00:00:00"/>
    <n v="8"/>
    <s v="280SL"/>
    <x v="4"/>
    <s v="GER"/>
    <s v="Wednesday"/>
    <n v="33450"/>
  </r>
  <r>
    <n v="296"/>
    <n v="273"/>
    <n v="1"/>
    <s v="EF8621F7-41EB-4C2D-ADBD-D4287083D41F"/>
    <n v="72500"/>
    <n v="2266.5966386554619"/>
    <n v="54"/>
    <x v="209"/>
    <n v="273"/>
    <s v="Mr. Evan Telford"/>
    <s v="7, Godzilla Street"/>
    <s v="Manchester"/>
    <s v="GB        "/>
    <x v="0"/>
    <x v="0"/>
    <n v="26"/>
    <n v="58000"/>
    <n v="2175"/>
    <n v="1500"/>
    <n v="750"/>
    <n v="72500"/>
    <n v="62425"/>
    <n v="0.16139367240688829"/>
    <n v="10075"/>
    <x v="3"/>
    <d v="2018-07-25T00:00:00"/>
    <n v="4"/>
    <s v="Virage"/>
    <x v="2"/>
    <s v="GBR"/>
    <s v="Wednesday"/>
    <n v="72500"/>
  </r>
  <r>
    <n v="297"/>
    <n v="274"/>
    <n v="1"/>
    <s v="E66B3E09-F02D-484A-8B9F-A8CD7833CD6B"/>
    <n v="2400"/>
    <n v="2266.5966386554619"/>
    <n v="71"/>
    <x v="210"/>
    <n v="274"/>
    <s v="Leslie Whittington"/>
    <s v="17, Mercury Street"/>
    <s v="London"/>
    <s v="GB        "/>
    <x v="0"/>
    <x v="0"/>
    <n v="98"/>
    <n v="1920"/>
    <n v="500"/>
    <n v="750"/>
    <n v="150"/>
    <n v="2400"/>
    <n v="3320"/>
    <n v="-0.27710843373493982"/>
    <n v="-920"/>
    <x v="5"/>
    <d v="2018-07-25T00:00:00"/>
    <n v="23"/>
    <s v="404"/>
    <x v="10"/>
    <s v="GER"/>
    <s v="Monday"/>
    <n v="2400"/>
  </r>
  <r>
    <n v="298"/>
    <n v="275"/>
    <n v="1"/>
    <s v="13F9FBD7-9342-4A2D-A249-E3AD6AE9A9CB"/>
    <n v="68500"/>
    <n v="2450"/>
    <n v="72"/>
    <x v="210"/>
    <n v="275"/>
    <s v="Mike Beeton"/>
    <s v="Green Plaza Place"/>
    <s v="London"/>
    <s v="GB        "/>
    <x v="0"/>
    <x v="0"/>
    <n v="74"/>
    <n v="54800"/>
    <n v="500"/>
    <n v="1500"/>
    <n v="750"/>
    <n v="68500"/>
    <n v="57550"/>
    <n v="0.19026933101650731"/>
    <n v="10950"/>
    <x v="9"/>
    <d v="2018-07-25T00:00:00"/>
    <n v="16"/>
    <s v="XK120"/>
    <x v="6"/>
    <s v="GBR"/>
    <s v="Monday"/>
    <n v="68500"/>
  </r>
  <r>
    <n v="299"/>
    <n v="276"/>
    <n v="1"/>
    <s v="E68BB825-0487-44CA-AE6C-7C650F81E22B"/>
    <n v="2350"/>
    <n v="2266.5966386554619"/>
    <n v="6"/>
    <x v="210"/>
    <n v="276"/>
    <s v="Le Luxe en Motion"/>
    <s v="Avenue des Indes, 26"/>
    <s v="Geneva"/>
    <s v="CH        "/>
    <x v="4"/>
    <x v="0"/>
    <n v="98"/>
    <n v="1880"/>
    <n v="500"/>
    <n v="750"/>
    <n v="150"/>
    <n v="2350"/>
    <n v="3280"/>
    <n v="-0.28353658536585369"/>
    <n v="-930"/>
    <x v="2"/>
    <d v="2018-07-25T00:00:00"/>
    <n v="23"/>
    <s v="404"/>
    <x v="10"/>
    <s v="GER"/>
    <s v="Monday"/>
    <n v="2350"/>
  </r>
  <r>
    <n v="300"/>
    <n v="277"/>
    <n v="1"/>
    <s v="519C0ED1-7611-4CDC-8153-5C4B81A7FD0F"/>
    <n v="18500"/>
    <n v="1950"/>
    <n v="56"/>
    <x v="210"/>
    <n v="277"/>
    <s v="ImpressTheNeighbours.Com"/>
    <s v="47, Edgbaston Row"/>
    <s v="Birmingham"/>
    <s v="GB        "/>
    <x v="0"/>
    <x v="0"/>
    <n v="82"/>
    <n v="14800"/>
    <n v="970"/>
    <n v="1050"/>
    <n v="150"/>
    <n v="18500"/>
    <n v="16970"/>
    <n v="9.0159104301708926E-2"/>
    <n v="1530"/>
    <x v="8"/>
    <d v="2018-07-25T00:00:00"/>
    <n v="19"/>
    <s v="Plus 4"/>
    <x v="22"/>
    <s v="GBR"/>
    <s v="Monday"/>
    <n v="18500"/>
  </r>
  <r>
    <n v="301"/>
    <n v="278"/>
    <n v="1"/>
    <s v="3CD0AFE8-9909-4A5D-BA9F-5C1F71B0DEE3"/>
    <n v="5500"/>
    <n v="2266.5966386554619"/>
    <n v="73"/>
    <x v="211"/>
    <n v="278"/>
    <s v="Melissa Bertrand"/>
    <s v="7, Westlands Street"/>
    <s v="London"/>
    <s v="GB        "/>
    <x v="0"/>
    <x v="0"/>
    <n v="84"/>
    <n v="4400"/>
    <n v="500"/>
    <n v="750"/>
    <n v="150"/>
    <n v="5500"/>
    <n v="5800"/>
    <n v="-5.1724137931034482E-2"/>
    <n v="-300"/>
    <x v="1"/>
    <d v="2018-07-25T00:00:00"/>
    <n v="20"/>
    <s v="M14"/>
    <x v="20"/>
    <s v="GBR"/>
    <s v="Tuesday"/>
    <n v="5500"/>
  </r>
  <r>
    <n v="302"/>
    <n v="279"/>
    <n v="1"/>
    <s v="114760E3-FC54-4C31-B323-BC4B83AB80D0"/>
    <n v="128500"/>
    <n v="12500"/>
    <n v="74"/>
    <x v="211"/>
    <n v="279"/>
    <s v="El Sport"/>
    <s v="Plaza San Andres"/>
    <s v="Madrid"/>
    <s v="ES        "/>
    <x v="5"/>
    <x v="0"/>
    <n v="9"/>
    <n v="102800"/>
    <n v="3950"/>
    <n v="2200"/>
    <n v="1950"/>
    <n v="128500"/>
    <n v="110900"/>
    <n v="0.15870153291253389"/>
    <n v="17600"/>
    <x v="1"/>
    <d v="2018-07-25T00:00:00"/>
    <n v="1"/>
    <s v="360"/>
    <x v="0"/>
    <s v="ITA"/>
    <s v="Tuesday"/>
    <n v="128500"/>
  </r>
  <r>
    <n v="303"/>
    <n v="280"/>
    <n v="1"/>
    <s v="757E7DB7-3688-41FD-AFB6-E49CC56BCCD8"/>
    <n v="55000"/>
    <n v="2266.5966386554619"/>
    <n v="65"/>
    <x v="211"/>
    <n v="280"/>
    <s v="Stephany Rousso"/>
    <s v="10180 Orange County Place"/>
    <s v="Los Angeles"/>
    <s v="US        "/>
    <x v="3"/>
    <x v="1"/>
    <n v="25"/>
    <n v="44000"/>
    <n v="1360"/>
    <n v="1500"/>
    <n v="550"/>
    <n v="55000"/>
    <n v="47410"/>
    <n v="0.160092807424594"/>
    <n v="7590"/>
    <x v="7"/>
    <d v="2018-07-25T00:00:00"/>
    <n v="4"/>
    <s v="DB9"/>
    <x v="2"/>
    <s v="GBR"/>
    <s v="Tuesday"/>
    <n v="55000"/>
  </r>
  <r>
    <n v="304"/>
    <n v="281"/>
    <n v="1"/>
    <s v="BA123B46-B5DF-439B-9326-82174419FC14"/>
    <n v="1250"/>
    <n v="2266.5966386554619"/>
    <n v="63"/>
    <x v="211"/>
    <n v="281"/>
    <s v="Smooth Rocking Chrome"/>
    <s v="Via Stromboli 2"/>
    <s v="Milan"/>
    <s v="IT        "/>
    <x v="6"/>
    <x v="0"/>
    <n v="98"/>
    <n v="1000"/>
    <n v="500"/>
    <n v="750"/>
    <n v="150"/>
    <n v="1250"/>
    <n v="2400"/>
    <n v="-0.47916666666666657"/>
    <n v="-1150"/>
    <x v="0"/>
    <d v="2018-07-25T00:00:00"/>
    <n v="23"/>
    <s v="404"/>
    <x v="10"/>
    <s v="GER"/>
    <s v="Tuesday"/>
    <n v="1250"/>
  </r>
  <r>
    <n v="305"/>
    <n v="282"/>
    <n v="1"/>
    <s v="FCB80D65-7D65-41E4-9081-6C92D0C7F1F5"/>
    <n v="345000"/>
    <n v="2266.5966386554619"/>
    <n v="75"/>
    <x v="211"/>
    <n v="282"/>
    <s v="Bling Bling S.A."/>
    <s v="7, Place de la Richesse"/>
    <s v="Paris"/>
    <s v="FR        "/>
    <x v="2"/>
    <x v="0"/>
    <n v="63"/>
    <n v="276000"/>
    <n v="5500"/>
    <n v="457"/>
    <n v="1950"/>
    <n v="345000"/>
    <n v="283907"/>
    <n v="0.2151866632383139"/>
    <n v="61093"/>
    <x v="0"/>
    <d v="2018-07-25T00:00:00"/>
    <n v="12"/>
    <s v="57C"/>
    <x v="15"/>
    <s v="FRA"/>
    <s v="Tuesday"/>
    <n v="345000"/>
  </r>
  <r>
    <n v="306"/>
    <n v="283"/>
    <n v="1"/>
    <s v="0318C525-58CA-438E-A5A5-BA854855A664"/>
    <n v="82590"/>
    <n v="2266.5966386554619"/>
    <n v="76"/>
    <x v="211"/>
    <n v="283"/>
    <s v="Bravissima!"/>
    <s v="Via Rosso, 34"/>
    <s v="Rome"/>
    <s v="IT        "/>
    <x v="6"/>
    <x v="0"/>
    <n v="24"/>
    <n v="66072"/>
    <n v="1490"/>
    <n v="457"/>
    <n v="750"/>
    <n v="82590"/>
    <n v="68769"/>
    <n v="0.2009771844871964"/>
    <n v="13821"/>
    <x v="6"/>
    <d v="2018-07-25T00:00:00"/>
    <n v="4"/>
    <s v="DB6"/>
    <x v="2"/>
    <s v="GBR"/>
    <s v="Tuesday"/>
    <n v="82590"/>
  </r>
  <r>
    <n v="307"/>
    <n v="284"/>
    <n v="1"/>
    <s v="17FA511D-1C85-4F74-A164-B4EE39F48565"/>
    <n v="113590"/>
    <n v="2266.5966386554619"/>
    <n v="77"/>
    <x v="212"/>
    <n v="284"/>
    <s v="Jayden Jones"/>
    <s v="10500 Lincoln Square"/>
    <s v="Washington"/>
    <s v="US        "/>
    <x v="3"/>
    <x v="1"/>
    <n v="24"/>
    <n v="90872"/>
    <n v="500"/>
    <n v="225"/>
    <n v="750"/>
    <n v="113590"/>
    <n v="92347"/>
    <n v="0.23003454362350689"/>
    <n v="21243"/>
    <x v="3"/>
    <d v="2018-07-31T00:00:00"/>
    <n v="4"/>
    <s v="DB6"/>
    <x v="2"/>
    <s v="GBR"/>
    <s v="Wednesday"/>
    <n v="113590"/>
  </r>
  <r>
    <n v="308"/>
    <n v="285"/>
    <n v="1"/>
    <s v="4B47A26E-2723-4E06-A661-21271A6759D0"/>
    <n v="45000"/>
    <n v="1250"/>
    <n v="65"/>
    <x v="212"/>
    <n v="285"/>
    <s v="Stephany Rousso"/>
    <s v="10180 Orange County Place"/>
    <s v="Los Angeles"/>
    <s v="US        "/>
    <x v="3"/>
    <x v="1"/>
    <n v="26"/>
    <n v="36000"/>
    <n v="1360"/>
    <n v="750"/>
    <n v="550"/>
    <n v="45000"/>
    <n v="38660"/>
    <n v="0.16399379203310921"/>
    <n v="6340"/>
    <x v="4"/>
    <d v="2018-07-31T00:00:00"/>
    <n v="4"/>
    <s v="Virage"/>
    <x v="2"/>
    <s v="GBR"/>
    <s v="Wednesday"/>
    <n v="45000"/>
  </r>
  <r>
    <n v="309"/>
    <n v="286"/>
    <n v="1"/>
    <s v="47572651-C884-4C1D-A433-E8641A1A1172"/>
    <n v="57600"/>
    <n v="2266.5966386554619"/>
    <n v="64"/>
    <x v="212"/>
    <n v="286"/>
    <s v="YO! Speed!"/>
    <s v="Plaza Mayor"/>
    <s v="Barcelona"/>
    <s v="ES        "/>
    <x v="5"/>
    <x v="0"/>
    <n v="28"/>
    <n v="46080"/>
    <n v="2000"/>
    <n v="1500"/>
    <n v="550"/>
    <n v="57600"/>
    <n v="50130"/>
    <n v="0.14901256732495519"/>
    <n v="7470"/>
    <x v="3"/>
    <d v="2018-07-31T00:00:00"/>
    <n v="4"/>
    <s v="Vanquish"/>
    <x v="2"/>
    <s v="GBR"/>
    <s v="Wednesday"/>
    <n v="57600"/>
  </r>
  <r>
    <n v="310"/>
    <n v="287"/>
    <n v="1"/>
    <s v="2A27FF01-DC3C-4FE2-AC8C-9145C29F651C"/>
    <n v="102500"/>
    <n v="2266.5966386554619"/>
    <n v="45"/>
    <x v="212"/>
    <n v="287"/>
    <s v="Pierre Blanc"/>
    <s v="52 Deirdre Lane"/>
    <s v="London"/>
    <s v="GB        "/>
    <x v="0"/>
    <x v="0"/>
    <n v="27"/>
    <n v="82000"/>
    <n v="2175"/>
    <n v="1500"/>
    <n v="750"/>
    <n v="102500"/>
    <n v="86425"/>
    <n v="0.18599942146369691"/>
    <n v="16075"/>
    <x v="4"/>
    <d v="2018-08-01T00:00:00"/>
    <n v="4"/>
    <s v="Vantage"/>
    <x v="2"/>
    <s v="GBR"/>
    <s v="Wednesday"/>
    <n v="102500"/>
  </r>
  <r>
    <n v="311"/>
    <n v="288"/>
    <n v="1"/>
    <s v="F4443E46-3EAC-4C10-902C-71257DEEE229"/>
    <n v="39500"/>
    <n v="2266.5966386554619"/>
    <n v="54"/>
    <x v="213"/>
    <n v="288"/>
    <s v="Mr. Evan Telford"/>
    <s v="7, Godzilla Street"/>
    <s v="Manchester"/>
    <s v="GB        "/>
    <x v="0"/>
    <x v="0"/>
    <n v="21"/>
    <n v="31600"/>
    <n v="970"/>
    <n v="750"/>
    <n v="550"/>
    <n v="39500"/>
    <n v="33870"/>
    <n v="0.1662237968703868"/>
    <n v="5630"/>
    <x v="1"/>
    <d v="2018-08-02T00:00:00"/>
    <n v="4"/>
    <s v="DB2"/>
    <x v="2"/>
    <s v="GBR"/>
    <s v="Friday"/>
    <n v="39500"/>
  </r>
  <r>
    <n v="312"/>
    <n v="289"/>
    <n v="1"/>
    <s v="4EE854BF-A9DD-453B-815E-E0692A75A969"/>
    <n v="61550"/>
    <n v="2266.5966386554619"/>
    <n v="78"/>
    <x v="214"/>
    <n v="289"/>
    <s v="Expensive Shine"/>
    <s v="89, Abbots Lane"/>
    <s v="Manchester"/>
    <s v="GB        "/>
    <x v="0"/>
    <x v="0"/>
    <n v="25"/>
    <n v="49240"/>
    <n v="660"/>
    <n v="750"/>
    <n v="550"/>
    <n v="61550"/>
    <n v="51200"/>
    <n v="0.2021484375"/>
    <n v="10350"/>
    <x v="4"/>
    <d v="2018-08-02T00:00:00"/>
    <n v="4"/>
    <s v="DB9"/>
    <x v="2"/>
    <s v="GBR"/>
    <s v="Saturday"/>
    <n v="61550"/>
  </r>
  <r>
    <n v="313"/>
    <n v="290"/>
    <n v="1"/>
    <s v="3D2E9AD0-972B-4A09-895F-1833655CFB21"/>
    <n v="55000"/>
    <n v="2266.5966386554619"/>
    <n v="79"/>
    <x v="215"/>
    <n v="290"/>
    <s v="Steve Docherty"/>
    <s v="5, Albermarle Avenue"/>
    <s v="Manchester"/>
    <s v="GB        "/>
    <x v="0"/>
    <x v="0"/>
    <n v="26"/>
    <n v="44000"/>
    <n v="1360"/>
    <n v="1500"/>
    <n v="550"/>
    <n v="55000"/>
    <n v="47410"/>
    <n v="0.160092807424594"/>
    <n v="7590"/>
    <x v="1"/>
    <d v="2018-08-02T00:00:00"/>
    <n v="4"/>
    <s v="Virage"/>
    <x v="2"/>
    <s v="GBR"/>
    <s v="Wednesday"/>
    <n v="55000"/>
  </r>
  <r>
    <n v="314"/>
    <n v="291"/>
    <n v="1"/>
    <s v="480D88A9-B1E5-4A79-9D2C-C1050C6DA00A"/>
    <n v="99500"/>
    <n v="1250"/>
    <n v="80"/>
    <x v="216"/>
    <n v="291"/>
    <s v="Rodolph Legler"/>
    <s v="SingerStrasse 89"/>
    <s v="Stuttgart"/>
    <s v="DE        "/>
    <x v="1"/>
    <x v="0"/>
    <n v="30"/>
    <n v="79600"/>
    <n v="2000"/>
    <n v="750"/>
    <n v="750"/>
    <n v="99500"/>
    <n v="83100"/>
    <n v="0.19735258724428409"/>
    <n v="16400"/>
    <x v="7"/>
    <d v="2018-08-02T00:00:00"/>
    <n v="5"/>
    <s v="Mulsanne"/>
    <x v="3"/>
    <s v="GBR"/>
    <s v="Thursday"/>
    <n v="99500"/>
  </r>
  <r>
    <n v="315"/>
    <n v="292"/>
    <n v="1"/>
    <s v="EE92EE4A-977E-4BC6-BEFF-512CC468944C"/>
    <n v="56800"/>
    <n v="750"/>
    <n v="6"/>
    <x v="217"/>
    <n v="292"/>
    <s v="Le Luxe en Motion"/>
    <s v="Avenue des Indes, 26"/>
    <s v="Geneva"/>
    <s v="CH        "/>
    <x v="4"/>
    <x v="0"/>
    <n v="33"/>
    <n v="45440"/>
    <n v="500"/>
    <n v="750"/>
    <n v="550"/>
    <n v="56800"/>
    <n v="47240"/>
    <n v="0.20237087214225241"/>
    <n v="9560"/>
    <x v="7"/>
    <d v="2018-08-02T00:00:00"/>
    <n v="5"/>
    <s v="Arnage"/>
    <x v="3"/>
    <s v="GBR"/>
    <s v="Saturday"/>
    <n v="56800"/>
  </r>
  <r>
    <n v="316"/>
    <n v="293"/>
    <n v="1"/>
    <s v="B8498BEE-D1C5-4D93-981F-640031A3AE6C"/>
    <n v="89500"/>
    <n v="2266.5966386554619"/>
    <n v="36"/>
    <x v="218"/>
    <n v="293"/>
    <s v="Screamin' Wheels"/>
    <s v="1090 Reagan Road"/>
    <s v="Los Angeles"/>
    <s v="US        "/>
    <x v="3"/>
    <x v="1"/>
    <n v="31"/>
    <n v="71600"/>
    <n v="1490"/>
    <n v="750"/>
    <n v="750"/>
    <n v="89500"/>
    <n v="74590"/>
    <n v="0.19989274701702639"/>
    <n v="14910"/>
    <x v="9"/>
    <d v="2018-08-31T00:00:00"/>
    <n v="5"/>
    <s v="Continental"/>
    <x v="3"/>
    <s v="GBR"/>
    <s v="Saturday"/>
    <n v="89500"/>
  </r>
  <r>
    <n v="317"/>
    <n v="294"/>
    <n v="1"/>
    <s v="A44EE0A0-B924-4B29-9C05-BA4BFADE084B"/>
    <n v="72500"/>
    <n v="2266.5966386554619"/>
    <n v="16"/>
    <x v="218"/>
    <n v="294"/>
    <s v="SuperSport S.A.R.L."/>
    <s v="210 Place de la Republique"/>
    <s v="Paris"/>
    <s v="FR        "/>
    <x v="2"/>
    <x v="0"/>
    <n v="32"/>
    <n v="58000"/>
    <n v="1490"/>
    <n v="225"/>
    <n v="750"/>
    <n v="72500"/>
    <n v="60465"/>
    <n v="0.19904076738609119"/>
    <n v="12035"/>
    <x v="2"/>
    <d v="2018-08-31T00:00:00"/>
    <n v="5"/>
    <s v="Flying Spur"/>
    <x v="3"/>
    <s v="GBR"/>
    <s v="Saturday"/>
    <n v="72500"/>
  </r>
  <r>
    <n v="318"/>
    <n v="295"/>
    <n v="1"/>
    <s v="C8C871B4-F08D-445A-BCD1-ACFEC616A113"/>
    <n v="56950"/>
    <n v="2266.5966386554619"/>
    <n v="14"/>
    <x v="218"/>
    <n v="295"/>
    <s v="Convertible Dreams"/>
    <s v="31, Archbishop Ave"/>
    <s v="London"/>
    <s v="GB        "/>
    <x v="0"/>
    <x v="0"/>
    <n v="30"/>
    <n v="45560"/>
    <n v="970"/>
    <n v="750"/>
    <n v="550"/>
    <n v="56950"/>
    <n v="47830"/>
    <n v="0.19067530838385949"/>
    <n v="9120"/>
    <x v="0"/>
    <d v="2018-08-31T00:00:00"/>
    <n v="5"/>
    <s v="Mulsanne"/>
    <x v="3"/>
    <s v="GBR"/>
    <s v="Saturday"/>
    <n v="56950"/>
  </r>
  <r>
    <n v="319"/>
    <n v="296"/>
    <n v="1"/>
    <s v="47693731-F213-4E60-97D6-115A7BD83259"/>
    <n v="62500"/>
    <n v="2266.5966386554619"/>
    <n v="56"/>
    <x v="219"/>
    <n v="296"/>
    <s v="ImpressTheNeighbours.Com"/>
    <s v="47, Edgbaston Row"/>
    <s v="Birmingham"/>
    <s v="GB        "/>
    <x v="0"/>
    <x v="0"/>
    <n v="45"/>
    <n v="50000"/>
    <n v="500"/>
    <n v="225"/>
    <n v="550"/>
    <n v="62500"/>
    <n v="51275"/>
    <n v="0.21891760117016079"/>
    <n v="11225"/>
    <x v="5"/>
    <d v="2018-09-01T00:00:00"/>
    <n v="8"/>
    <s v="280SL"/>
    <x v="4"/>
    <s v="GER"/>
    <s v="Tuesday"/>
    <n v="62500"/>
  </r>
  <r>
    <n v="320"/>
    <n v="297"/>
    <n v="1"/>
    <s v="73FB2744-5AD9-42DC-A29C-B9B2FEF8353C"/>
    <n v="56890"/>
    <n v="2266.5966386554619"/>
    <n v="48"/>
    <x v="219"/>
    <n v="297"/>
    <s v="Antonio Maura"/>
    <s v="Puerta del Sol, 45"/>
    <s v="Madrid"/>
    <s v="ES        "/>
    <x v="5"/>
    <x v="0"/>
    <n v="45"/>
    <n v="45512"/>
    <n v="1360"/>
    <n v="750"/>
    <n v="550"/>
    <n v="56890"/>
    <n v="48172"/>
    <n v="0.18097650087187581"/>
    <n v="8718"/>
    <x v="7"/>
    <d v="2018-09-01T00:00:00"/>
    <n v="8"/>
    <s v="280SL"/>
    <x v="4"/>
    <s v="GER"/>
    <s v="Tuesday"/>
    <n v="56890"/>
  </r>
  <r>
    <n v="321"/>
    <n v="298"/>
    <n v="1"/>
    <s v="DB742D0B-E562-41F4-AC94-8C58C2B0B69C"/>
    <n v="33600"/>
    <n v="2266.5966386554619"/>
    <n v="57"/>
    <x v="220"/>
    <n v="298"/>
    <s v="Wladimir Lacroix"/>
    <s v="3, Rue de la Vie en Rose"/>
    <s v="Lyon"/>
    <s v="FR        "/>
    <x v="2"/>
    <x v="0"/>
    <n v="46"/>
    <n v="26880"/>
    <n v="2000"/>
    <n v="457"/>
    <n v="550"/>
    <n v="33600"/>
    <n v="29887"/>
    <n v="0.12423461705758369"/>
    <n v="3713"/>
    <x v="9"/>
    <d v="2018-09-01T00:00:00"/>
    <n v="8"/>
    <s v="350SL"/>
    <x v="4"/>
    <s v="GER"/>
    <s v="Saturday"/>
    <n v="33600"/>
  </r>
  <r>
    <n v="322"/>
    <n v="299"/>
    <n v="1"/>
    <s v="51784E0D-09DB-4A40-8E92-CB09A0DE4444"/>
    <n v="30500"/>
    <n v="2450"/>
    <n v="81"/>
    <x v="220"/>
    <n v="299"/>
    <s v="Pete Spring"/>
    <s v="53, Pimlico Square"/>
    <s v="Manchester"/>
    <s v="GB        "/>
    <x v="0"/>
    <x v="0"/>
    <n v="47"/>
    <n v="24400"/>
    <n v="1360"/>
    <n v="750"/>
    <n v="150"/>
    <n v="30500"/>
    <n v="26660"/>
    <n v="0.14403600900225061"/>
    <n v="3840"/>
    <x v="7"/>
    <d v="2018-09-01T00:00:00"/>
    <n v="8"/>
    <s v="500SL"/>
    <x v="4"/>
    <s v="GER"/>
    <s v="Saturday"/>
    <n v="30500"/>
  </r>
  <r>
    <n v="323"/>
    <n v="300"/>
    <n v="1"/>
    <s v="1A861C29-F198-4D34-BDAF-B35E8080320A"/>
    <n v="25000"/>
    <n v="2266.5966386554619"/>
    <n v="82"/>
    <x v="221"/>
    <n v="300"/>
    <s v="Khader El Ghannam"/>
    <s v="10, rue de Jemappes"/>
    <s v="Paris"/>
    <s v="FR        "/>
    <x v="2"/>
    <x v="0"/>
    <n v="66"/>
    <n v="20000"/>
    <n v="1360"/>
    <n v="457"/>
    <n v="150"/>
    <n v="50500"/>
    <n v="21967"/>
    <n v="1.298902899804252"/>
    <n v="28533"/>
    <x v="6"/>
    <d v="2018-09-10T00:00:00"/>
    <n v="13"/>
    <s v="Traaction Avant"/>
    <x v="13"/>
    <s v="FRA"/>
    <s v="Saturday"/>
    <n v="50500"/>
  </r>
  <r>
    <n v="324"/>
    <n v="300"/>
    <n v="2"/>
    <s v="D0F51768-8924-4EF5-A3E9-B31AC7129BFB"/>
    <n v="25500"/>
    <n v="2266.5966386554619"/>
    <n v="82"/>
    <x v="221"/>
    <n v="300"/>
    <s v="Khader El Ghannam"/>
    <s v="10, rue de Jemappes"/>
    <s v="Paris"/>
    <s v="FR        "/>
    <x v="2"/>
    <x v="0"/>
    <n v="67"/>
    <n v="20400"/>
    <n v="1360"/>
    <n v="750"/>
    <n v="150"/>
    <n v="50500"/>
    <n v="22660"/>
    <n v="1.2285966460723741"/>
    <n v="27840"/>
    <x v="9"/>
    <d v="2018-09-10T00:00:00"/>
    <n v="14"/>
    <s v="135"/>
    <x v="14"/>
    <s v="FRA"/>
    <s v="Saturday"/>
    <n v="50500"/>
  </r>
  <r>
    <n v="325"/>
    <n v="301"/>
    <n v="1"/>
    <s v="E8FF8444-2B18-45A0-84AC-F776755E06ED"/>
    <n v="39500"/>
    <n v="2266.5966386554619"/>
    <n v="78"/>
    <x v="221"/>
    <n v="301"/>
    <s v="Expensive Shine"/>
    <s v="89, Abbots Lane"/>
    <s v="Manchester"/>
    <s v="GB        "/>
    <x v="0"/>
    <x v="0"/>
    <n v="68"/>
    <n v="31600"/>
    <n v="970"/>
    <n v="750"/>
    <n v="550"/>
    <n v="39500"/>
    <n v="33870"/>
    <n v="0.1662237968703868"/>
    <n v="5630"/>
    <x v="3"/>
    <d v="2018-09-10T00:00:00"/>
    <n v="14"/>
    <s v="145"/>
    <x v="14"/>
    <s v="FRA"/>
    <s v="Saturday"/>
    <n v="39500"/>
  </r>
  <r>
    <n v="326"/>
    <n v="302"/>
    <n v="1"/>
    <s v="A3E788F8-889C-45E1-A610-881983869F6B"/>
    <n v="12500"/>
    <n v="2266.5966386554619"/>
    <n v="76"/>
    <x v="221"/>
    <n v="302"/>
    <s v="Bravissima!"/>
    <s v="Via Rosso, 34"/>
    <s v="Rome"/>
    <s v="IT        "/>
    <x v="6"/>
    <x v="0"/>
    <n v="69"/>
    <n v="10000"/>
    <n v="500"/>
    <n v="457"/>
    <n v="150"/>
    <n v="12500"/>
    <n v="11107"/>
    <n v="0.1254164040695058"/>
    <n v="1393"/>
    <x v="8"/>
    <d v="2018-09-10T00:00:00"/>
    <n v="14"/>
    <s v="175"/>
    <x v="14"/>
    <s v="FRA"/>
    <s v="Saturday"/>
    <n v="12500"/>
  </r>
  <r>
    <n v="327"/>
    <n v="303"/>
    <n v="1"/>
    <s v="C8F49B5E-EDDB-42D0-BE0F-8C4181A6C81D"/>
    <n v="1150"/>
    <n v="1500"/>
    <n v="69"/>
    <x v="222"/>
    <n v="303"/>
    <s v="Mary Blackhouse"/>
    <s v="260, Oxford Avenue"/>
    <s v="London"/>
    <s v="GB        "/>
    <x v="0"/>
    <x v="0"/>
    <n v="94"/>
    <n v="920"/>
    <n v="500"/>
    <n v="750"/>
    <n v="150"/>
    <n v="5600"/>
    <n v="2320"/>
    <n v="1.413793103448276"/>
    <n v="3280"/>
    <x v="0"/>
    <d v="2018-09-30T00:00:00"/>
    <n v="22"/>
    <s v="500"/>
    <x v="21"/>
    <s v="GER"/>
    <s v="Tuesday"/>
    <n v="5600"/>
  </r>
  <r>
    <n v="328"/>
    <n v="303"/>
    <n v="2"/>
    <s v="1D5C9493-4BA2-415A-B4D6-7079278CA2DC"/>
    <n v="1950"/>
    <n v="2266.5966386554619"/>
    <n v="69"/>
    <x v="222"/>
    <n v="303"/>
    <s v="Mary Blackhouse"/>
    <s v="260, Oxford Avenue"/>
    <s v="London"/>
    <s v="GB        "/>
    <x v="0"/>
    <x v="0"/>
    <n v="95"/>
    <n v="1560"/>
    <n v="500"/>
    <n v="750"/>
    <n v="150"/>
    <n v="5600"/>
    <n v="2960"/>
    <n v="0.89189189189189189"/>
    <n v="2640"/>
    <x v="0"/>
    <d v="2018-10-01T00:00:00"/>
    <n v="22"/>
    <s v="600"/>
    <x v="21"/>
    <s v="GER"/>
    <s v="Tuesday"/>
    <n v="5600"/>
  </r>
  <r>
    <n v="329"/>
    <n v="303"/>
    <n v="3"/>
    <s v="0A059F54-46DE-4A25-8B5D-D7373AEE6F91"/>
    <n v="2500"/>
    <n v="2266.5966386554619"/>
    <n v="69"/>
    <x v="222"/>
    <n v="303"/>
    <s v="Mary Blackhouse"/>
    <s v="260, Oxford Avenue"/>
    <s v="London"/>
    <s v="GB        "/>
    <x v="0"/>
    <x v="0"/>
    <n v="94"/>
    <n v="2000"/>
    <n v="500"/>
    <n v="750"/>
    <n v="150"/>
    <n v="5600"/>
    <n v="3400"/>
    <n v="0.64705882352941169"/>
    <n v="2200"/>
    <x v="1"/>
    <d v="2018-10-01T00:00:00"/>
    <n v="22"/>
    <s v="500"/>
    <x v="21"/>
    <s v="GER"/>
    <s v="Tuesday"/>
    <n v="5600"/>
  </r>
  <r>
    <n v="330"/>
    <n v="304"/>
    <n v="1"/>
    <s v="6AE8BA09-AE75-4CA4-81EE-6CD2B3947120"/>
    <n v="69500"/>
    <n v="2266.5966386554619"/>
    <n v="83"/>
    <x v="222"/>
    <n v="304"/>
    <s v="Jacques Mitterand"/>
    <s v="1 Quai des Pertes"/>
    <s v="Paris"/>
    <s v="FR        "/>
    <x v="2"/>
    <x v="0"/>
    <n v="23"/>
    <n v="55600"/>
    <n v="2000"/>
    <n v="457"/>
    <n v="750"/>
    <n v="69500"/>
    <n v="58807"/>
    <n v="0.18183209481864401"/>
    <n v="10693"/>
    <x v="1"/>
    <d v="2018-10-01T00:00:00"/>
    <n v="4"/>
    <s v="DB5"/>
    <x v="2"/>
    <s v="GBR"/>
    <s v="Tuesday"/>
    <n v="69500"/>
  </r>
  <r>
    <n v="331"/>
    <n v="305"/>
    <n v="1"/>
    <s v="3BDD9316-9359-464B-B98E-308494AD3056"/>
    <n v="45000"/>
    <n v="2266.5966386554619"/>
    <n v="84"/>
    <x v="222"/>
    <n v="305"/>
    <s v="Francoise LeBrun"/>
    <s v="56, Rue Verte"/>
    <s v="Lausanne"/>
    <s v="CH        "/>
    <x v="4"/>
    <x v="0"/>
    <n v="25"/>
    <n v="36000"/>
    <n v="500"/>
    <n v="750"/>
    <n v="550"/>
    <n v="45000"/>
    <n v="37800"/>
    <n v="0.19047619047619049"/>
    <n v="7200"/>
    <x v="7"/>
    <d v="2018-10-10T00:00:00"/>
    <n v="4"/>
    <s v="DB9"/>
    <x v="2"/>
    <s v="GBR"/>
    <s v="Tuesday"/>
    <n v="45000"/>
  </r>
  <r>
    <n v="332"/>
    <n v="306"/>
    <n v="1"/>
    <s v="3C17F01C-25FF-463B-86AA-1A34FEA02FF2"/>
    <n v="56990"/>
    <n v="2266.5966386554619"/>
    <n v="65"/>
    <x v="223"/>
    <n v="306"/>
    <s v="Stephany Rousso"/>
    <s v="10180 Orange County Place"/>
    <s v="Los Angeles"/>
    <s v="US        "/>
    <x v="3"/>
    <x v="1"/>
    <n v="28"/>
    <n v="45592"/>
    <n v="970"/>
    <n v="457"/>
    <n v="550"/>
    <n v="56990"/>
    <n v="47569"/>
    <n v="0.19804914965628881"/>
    <n v="9421"/>
    <x v="4"/>
    <d v="2018-10-10T00:00:00"/>
    <n v="4"/>
    <s v="Vanquish"/>
    <x v="2"/>
    <s v="GBR"/>
    <s v="Wednesday"/>
    <n v="56990"/>
  </r>
  <r>
    <n v="333"/>
    <n v="307"/>
    <n v="1"/>
    <s v="0E2AECED-5A41-412A-9414-DE7217C0B6EB"/>
    <n v="86500"/>
    <n v="2450"/>
    <n v="77"/>
    <x v="223"/>
    <n v="307"/>
    <s v="Jayden Jones"/>
    <s v="10500 Lincoln Square"/>
    <s v="Washington"/>
    <s v="US        "/>
    <x v="3"/>
    <x v="1"/>
    <n v="72"/>
    <n v="69200"/>
    <n v="2175"/>
    <n v="750"/>
    <n v="750"/>
    <n v="86500"/>
    <n v="72875"/>
    <n v="0.18696397941680959"/>
    <n v="13625"/>
    <x v="0"/>
    <d v="2018-10-29T00:00:00"/>
    <n v="16"/>
    <s v="Mark X"/>
    <x v="6"/>
    <s v="GBR"/>
    <s v="Wednesday"/>
    <n v="86500"/>
  </r>
  <r>
    <n v="334"/>
    <n v="308"/>
    <n v="1"/>
    <s v="91B4067A-EBDE-4C1E-9370-3E894FD2FD7D"/>
    <n v="17850"/>
    <n v="1250"/>
    <n v="85"/>
    <x v="223"/>
    <n v="308"/>
    <s v="Alex McWhirter"/>
    <s v="89, Harlequin Road"/>
    <s v="Newcastle"/>
    <s v="GB        "/>
    <x v="0"/>
    <x v="0"/>
    <n v="73"/>
    <n v="14280"/>
    <n v="970"/>
    <n v="750"/>
    <n v="150"/>
    <n v="17850"/>
    <n v="16150"/>
    <n v="0.10526315789473691"/>
    <n v="1700"/>
    <x v="4"/>
    <d v="2018-10-29T00:00:00"/>
    <n v="16"/>
    <s v="XJ12"/>
    <x v="6"/>
    <s v="GBR"/>
    <s v="Wednesday"/>
    <n v="17850"/>
  </r>
  <r>
    <n v="335"/>
    <n v="309"/>
    <n v="1"/>
    <s v="436E43FB-E015-48E4-B549-33F4A0EE8D3F"/>
    <n v="25950"/>
    <n v="2266.5966386554619"/>
    <n v="86"/>
    <x v="223"/>
    <n v="309"/>
    <s v="Francois Chirac"/>
    <s v="2, Quai de l'Enfer"/>
    <s v="Paris"/>
    <s v="FR        "/>
    <x v="2"/>
    <x v="0"/>
    <n v="71"/>
    <n v="20760"/>
    <n v="1360"/>
    <n v="457"/>
    <n v="150"/>
    <n v="25950"/>
    <n v="22727"/>
    <n v="0.14181370176442121"/>
    <n v="3223"/>
    <x v="4"/>
    <d v="2018-10-29T00:00:00"/>
    <n v="16"/>
    <s v="Mark V"/>
    <x v="6"/>
    <s v="GBR"/>
    <s v="Wednesday"/>
    <n v="25950"/>
  </r>
  <r>
    <n v="336"/>
    <n v="310"/>
    <n v="1"/>
    <s v="E166158C-F3BA-47DE-A499-A703210CF128"/>
    <n v="29500"/>
    <n v="2266.5966386554619"/>
    <n v="87"/>
    <x v="223"/>
    <n v="310"/>
    <s v="Andy Cheshire"/>
    <s v="7, Wedgewood Steet"/>
    <s v="Stoke"/>
    <s v="GB        "/>
    <x v="0"/>
    <x v="0"/>
    <n v="75"/>
    <n v="23600"/>
    <n v="660"/>
    <n v="750"/>
    <n v="150"/>
    <n v="29500"/>
    <n v="25160"/>
    <n v="0.17249602543720191"/>
    <n v="4340"/>
    <x v="4"/>
    <d v="2018-10-29T00:00:00"/>
    <n v="16"/>
    <s v="XK150"/>
    <x v="6"/>
    <s v="GBR"/>
    <s v="Wednesday"/>
    <n v="29500"/>
  </r>
  <r>
    <n v="337"/>
    <n v="311"/>
    <n v="1"/>
    <s v="1C9E6944-A890-4D7B-8F98-32B7276A78B3"/>
    <n v="59000"/>
    <n v="4500"/>
    <n v="5"/>
    <x v="223"/>
    <n v="311"/>
    <s v="Casseroles Chromes"/>
    <s v="29, Rue Gigondas"/>
    <s v="Lyon"/>
    <s v="FR        "/>
    <x v="2"/>
    <x v="0"/>
    <n v="74"/>
    <n v="47200"/>
    <n v="2000"/>
    <n v="750"/>
    <n v="550"/>
    <n v="59000"/>
    <n v="50500"/>
    <n v="0.16831683168316819"/>
    <n v="8500"/>
    <x v="1"/>
    <d v="2018-10-29T00:00:00"/>
    <n v="16"/>
    <s v="XK120"/>
    <x v="6"/>
    <s v="GBR"/>
    <s v="Wednesday"/>
    <n v="59000"/>
  </r>
  <r>
    <n v="338"/>
    <n v="312"/>
    <n v="1"/>
    <s v="7461FB42-ECE2-4C8C-BDBB-EF26AF3069F9"/>
    <n v="9500"/>
    <n v="2266.5966386554619"/>
    <n v="65"/>
    <x v="223"/>
    <n v="312"/>
    <s v="Stephany Rousso"/>
    <s v="10180 Orange County Place"/>
    <s v="Los Angeles"/>
    <s v="US        "/>
    <x v="3"/>
    <x v="1"/>
    <n v="87"/>
    <n v="7600"/>
    <n v="500"/>
    <n v="750"/>
    <n v="150"/>
    <n v="9500"/>
    <n v="9000"/>
    <n v="5.555555555555558E-2"/>
    <n v="500"/>
    <x v="6"/>
    <d v="2018-10-29T00:00:00"/>
    <n v="21"/>
    <s v="TR5"/>
    <x v="7"/>
    <s v="GBR"/>
    <s v="Wednesday"/>
    <n v="9500"/>
  </r>
  <r>
    <n v="339"/>
    <n v="313"/>
    <n v="1"/>
    <s v="98828061-0C7A-42C2-95D0-3095AD2EF0E4"/>
    <n v="8900"/>
    <n v="2266.5966386554619"/>
    <n v="35"/>
    <x v="224"/>
    <n v="313"/>
    <s v="Laurent Saint Yves"/>
    <s v="49, Rue Quicampoix"/>
    <s v="Marseille"/>
    <s v="FR        "/>
    <x v="2"/>
    <x v="0"/>
    <n v="87"/>
    <n v="7120"/>
    <n v="500"/>
    <n v="750"/>
    <n v="150"/>
    <n v="8900"/>
    <n v="8520"/>
    <n v="4.4600938967136239E-2"/>
    <n v="380"/>
    <x v="2"/>
    <d v="2018-11-01T00:00:00"/>
    <n v="21"/>
    <s v="TR5"/>
    <x v="7"/>
    <s v="GBR"/>
    <s v="Friday"/>
    <n v="8900"/>
  </r>
  <r>
    <n v="340"/>
    <n v="314"/>
    <n v="1"/>
    <s v="E519F3CF-BE4B-44CF-98D5-80EC33EC6CE1"/>
    <n v="11590"/>
    <n v="2266.5966386554619"/>
    <n v="24"/>
    <x v="225"/>
    <n v="314"/>
    <s v="Matterhorn Motors"/>
    <s v="1, Rue de la Colline"/>
    <s v="Lausanne"/>
    <s v="CH        "/>
    <x v="4"/>
    <x v="0"/>
    <n v="86"/>
    <n v="9272"/>
    <n v="500"/>
    <n v="250"/>
    <n v="150"/>
    <n v="11590"/>
    <n v="10172"/>
    <n v="0.1394022807707431"/>
    <n v="1418"/>
    <x v="4"/>
    <d v="2018-11-01T00:00:00"/>
    <n v="21"/>
    <s v="TR4"/>
    <x v="7"/>
    <s v="GBR"/>
    <s v="Thursday"/>
    <n v="11590"/>
  </r>
  <r>
    <n v="341"/>
    <n v="315"/>
    <n v="1"/>
    <s v="E6923E8C-C07A-430F-B80D-7D5F329055AB"/>
    <n v="8500"/>
    <n v="2266.5966386554619"/>
    <n v="19"/>
    <x v="226"/>
    <n v="315"/>
    <s v="Posh Vehicles Ltd"/>
    <s v="82, Millar Close"/>
    <s v="Manchester"/>
    <s v="GB        "/>
    <x v="0"/>
    <x v="0"/>
    <n v="86"/>
    <n v="6800"/>
    <n v="500"/>
    <n v="750"/>
    <n v="150"/>
    <n v="8500"/>
    <n v="8200"/>
    <n v="3.6585365853658569E-2"/>
    <n v="300"/>
    <x v="0"/>
    <d v="2018-11-01T00:00:00"/>
    <n v="21"/>
    <s v="TR4"/>
    <x v="7"/>
    <s v="GBR"/>
    <s v="Thursday"/>
    <n v="8500"/>
  </r>
  <r>
    <n v="342"/>
    <n v="316"/>
    <n v="1"/>
    <s v="0487C263-79B7-4F2B-8D0E-B0BAA41D7F24"/>
    <n v="59500"/>
    <n v="2266.5966386554619"/>
    <n v="20"/>
    <x v="227"/>
    <n v="316"/>
    <s v="Jason B. Wight"/>
    <s v="5300 Star Boulevard"/>
    <s v="Washington"/>
    <s v="US        "/>
    <x v="3"/>
    <x v="1"/>
    <n v="25"/>
    <n v="47600"/>
    <n v="500"/>
    <n v="500"/>
    <n v="550"/>
    <n v="59500"/>
    <n v="49150"/>
    <n v="0.21057985757884021"/>
    <n v="10350"/>
    <x v="4"/>
    <d v="2018-12-01T00:00:00"/>
    <n v="4"/>
    <s v="DB9"/>
    <x v="2"/>
    <s v="GBR"/>
    <s v="Wednesday"/>
    <n v="59500"/>
  </r>
  <r>
    <n v="343"/>
    <n v="317"/>
    <n v="1"/>
    <s v="92FDF39E-6565-4B68-80BA-02ED30F00A7E"/>
    <n v="123500"/>
    <n v="3500"/>
    <n v="40"/>
    <x v="227"/>
    <n v="317"/>
    <s v="Ronaldo Bianco"/>
    <s v="Palazzo Medusa 2000"/>
    <s v="Milan"/>
    <s v="IT        "/>
    <x v="6"/>
    <x v="0"/>
    <n v="26"/>
    <n v="98800"/>
    <n v="2000"/>
    <n v="3150"/>
    <n v="750"/>
    <n v="123500"/>
    <n v="104700"/>
    <n v="0.1795606494746895"/>
    <n v="18800"/>
    <x v="4"/>
    <d v="2018-12-01T00:00:00"/>
    <n v="4"/>
    <s v="Virage"/>
    <x v="2"/>
    <s v="GBR"/>
    <s v="Wednesday"/>
    <n v="123500"/>
  </r>
  <r>
    <n v="344"/>
    <n v="318"/>
    <n v="1"/>
    <s v="5D7C9AA9-F0C7-4F8E-8524-6481BE3CC62E"/>
    <n v="99500"/>
    <n v="2266.5966386554619"/>
    <n v="60"/>
    <x v="228"/>
    <n v="318"/>
    <s v="Andrea Tarbuck"/>
    <s v="2,Newcastle Lane"/>
    <s v="Birmingham"/>
    <s v="GB        "/>
    <x v="0"/>
    <x v="0"/>
    <n v="25"/>
    <n v="79600"/>
    <n v="1490"/>
    <n v="750"/>
    <n v="750"/>
    <n v="99500"/>
    <n v="82590"/>
    <n v="0.2047463373289744"/>
    <n v="16910"/>
    <x v="3"/>
    <d v="2018-12-05T00:00:00"/>
    <n v="4"/>
    <s v="DB9"/>
    <x v="2"/>
    <s v="GBR"/>
    <s v="Saturday"/>
    <n v="99500"/>
  </r>
  <r>
    <n v="345"/>
    <n v="319"/>
    <n v="1"/>
    <s v="CD2E20D3-1A10-4460-AC3B-FAC658F5F6F4"/>
    <n v="54500"/>
    <n v="2266.5966386554619"/>
    <n v="59"/>
    <x v="228"/>
    <n v="319"/>
    <s v="Boris Spry"/>
    <s v="53, Odeon Way"/>
    <s v="Birmingham"/>
    <s v="GB        "/>
    <x v="0"/>
    <x v="0"/>
    <n v="24"/>
    <n v="43600"/>
    <n v="970"/>
    <n v="289"/>
    <n v="550"/>
    <n v="56090"/>
    <n v="45409"/>
    <n v="0.23521768812349969"/>
    <n v="10681"/>
    <x v="4"/>
    <d v="2018-12-07T00:00:00"/>
    <n v="4"/>
    <s v="DB6"/>
    <x v="2"/>
    <s v="GBR"/>
    <s v="Saturday"/>
    <n v="56090"/>
  </r>
  <r>
    <n v="346"/>
    <n v="319"/>
    <n v="2"/>
    <s v="3C384AE3-7F59-4CD6-BAFE-5E6EFFD25FAD"/>
    <n v="1590"/>
    <n v="2266.5966386554619"/>
    <n v="59"/>
    <x v="228"/>
    <n v="319"/>
    <s v="Boris Spry"/>
    <s v="53, Odeon Way"/>
    <s v="Birmingham"/>
    <s v="GB        "/>
    <x v="0"/>
    <x v="0"/>
    <n v="95"/>
    <n v="1272"/>
    <n v="500"/>
    <n v="750"/>
    <n v="150"/>
    <n v="56090"/>
    <n v="2672"/>
    <n v="19.991766467065869"/>
    <n v="53418"/>
    <x v="4"/>
    <d v="2018-12-07T00:00:00"/>
    <n v="22"/>
    <s v="600"/>
    <x v="21"/>
    <s v="GER"/>
    <s v="Saturday"/>
    <n v="56090"/>
  </r>
  <r>
    <n v="347"/>
    <n v="320"/>
    <n v="1"/>
    <s v="6556A473-CE18-428F-8F33-955E80FBA888"/>
    <n v="11500"/>
    <n v="2266.5966386554619"/>
    <n v="48"/>
    <x v="229"/>
    <n v="320"/>
    <s v="Antonio Maura"/>
    <s v="Puerta del Sol, 45"/>
    <s v="Madrid"/>
    <s v="ES        "/>
    <x v="5"/>
    <x v="0"/>
    <n v="87"/>
    <n v="9200"/>
    <n v="500"/>
    <n v="750"/>
    <n v="150"/>
    <n v="11500"/>
    <n v="10600"/>
    <n v="8.4905660377358583E-2"/>
    <n v="900"/>
    <x v="4"/>
    <d v="2018-12-15T00:00:00"/>
    <n v="21"/>
    <s v="TR5"/>
    <x v="7"/>
    <s v="GBR"/>
    <s v="Sunday"/>
    <n v="11500"/>
  </r>
  <r>
    <n v="348"/>
    <n v="321"/>
    <n v="1"/>
    <s v="F166C930-3101-42E9-8AE8-189F47FA0014"/>
    <n v="17950"/>
    <n v="1500"/>
    <n v="36"/>
    <x v="230"/>
    <n v="321"/>
    <s v="Screamin' Wheels"/>
    <s v="1090 Reagan Road"/>
    <s v="Los Angeles"/>
    <s v="US        "/>
    <x v="3"/>
    <x v="1"/>
    <n v="54"/>
    <n v="14360"/>
    <n v="2000"/>
    <n v="1050"/>
    <n v="150"/>
    <n v="17950"/>
    <n v="17560"/>
    <n v="2.2209567198177679E-2"/>
    <n v="390"/>
    <x v="3"/>
    <d v="2018-12-16T00:00:00"/>
    <n v="9"/>
    <s v="Giulietta"/>
    <x v="5"/>
    <s v="ITA"/>
    <s v="Monday"/>
    <n v="17950"/>
  </r>
  <r>
    <n v="349"/>
    <n v="322"/>
    <n v="1"/>
    <s v="2E0E8003-F9CC-486D-9D08-D4DAC688C800"/>
    <n v="5500"/>
    <n v="2266.5966386554619"/>
    <n v="35"/>
    <x v="231"/>
    <n v="322"/>
    <s v="Laurent Saint Yves"/>
    <s v="49, Rue Quicampoix"/>
    <s v="Marseille"/>
    <s v="FR        "/>
    <x v="2"/>
    <x v="0"/>
    <n v="65"/>
    <n v="4400"/>
    <n v="500"/>
    <n v="750"/>
    <n v="150"/>
    <n v="5500"/>
    <n v="5800"/>
    <n v="-5.1724137931034482E-2"/>
    <n v="-300"/>
    <x v="4"/>
    <d v="2018-12-31T00:00:00"/>
    <n v="13"/>
    <s v="Rosalie"/>
    <x v="13"/>
    <s v="FRA"/>
    <s v="Monday"/>
    <n v="5500"/>
  </r>
  <r>
    <n v="350"/>
    <n v="323"/>
    <n v="1"/>
    <s v="C2623FF4-88AA-40E9-AF3B-8D009C25027B"/>
    <n v="950"/>
    <n v="2266.5966386554619"/>
    <n v="30"/>
    <x v="231"/>
    <n v="323"/>
    <s v="Mrs. Ivana Telford"/>
    <s v="52, Gerrard Mansions"/>
    <s v="Liverpool"/>
    <s v="GB        "/>
    <x v="0"/>
    <x v="0"/>
    <n v="100"/>
    <n v="760"/>
    <n v="500"/>
    <n v="750"/>
    <n v="150"/>
    <n v="950"/>
    <n v="2160"/>
    <n v="-0.56018518518518512"/>
    <n v="-1210"/>
    <x v="4"/>
    <d v="2018-12-31T00:00:00"/>
    <n v="24"/>
    <s v="Robin"/>
    <x v="16"/>
    <s v="FRA"/>
    <s v="Monday"/>
    <n v="950"/>
  </r>
  <r>
    <n v="351"/>
    <n v="324"/>
    <n v="1"/>
    <s v="C7569243-BDDB-4250-901E-EA6034824106"/>
    <n v="145000"/>
    <n v="5000"/>
    <n v="87"/>
    <x v="231"/>
    <n v="324"/>
    <s v="Andy Cheshire"/>
    <s v="7, Wedgewood Steet"/>
    <s v="Stoke"/>
    <s v="GB        "/>
    <x v="0"/>
    <x v="0"/>
    <n v="1"/>
    <n v="116000"/>
    <n v="3950"/>
    <n v="958.14857142857147"/>
    <n v="1950"/>
    <n v="145000"/>
    <n v="121900"/>
    <n v="0.1894995898277276"/>
    <n v="23100"/>
    <x v="4"/>
    <d v="2018-12-31T00:00:00"/>
    <n v="1"/>
    <s v="Daytona"/>
    <x v="0"/>
    <s v="ITA"/>
    <s v="Monday"/>
    <n v="145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total sale by date" cacheId="9"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chartFormat="4">
  <location ref="A3:B16" firstHeaderRow="1" firstDataRow="1" firstDataCol="1"/>
  <pivotFields count="32">
    <pivotField showAll="0"/>
    <pivotField showAll="0"/>
    <pivotField showAll="0"/>
    <pivotField showAll="0"/>
    <pivotField showAll="0"/>
    <pivotField showAll="0"/>
    <pivotField showAll="0"/>
    <pivotField axis="axisRow" numFmtId="164"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items count="9">
        <item x="7"/>
        <item x="2"/>
        <item x="1"/>
        <item x="6"/>
        <item x="5"/>
        <item x="4"/>
        <item x="0"/>
        <item x="3"/>
        <item t="default"/>
      </items>
    </pivotField>
    <pivotField showAll="0">
      <items count="3">
        <item x="0"/>
        <item x="1"/>
        <item t="default"/>
      </items>
    </pivotField>
    <pivotField showAll="0"/>
    <pivotField showAll="0"/>
    <pivotField showAll="0"/>
    <pivotField showAll="0"/>
    <pivotField showAll="0"/>
    <pivotField dataField="1" showAll="0"/>
    <pivotField showAll="0"/>
    <pivotField showAll="0"/>
    <pivotField showAll="0"/>
    <pivotField showAll="0">
      <items count="11">
        <item x="4"/>
        <item x="1"/>
        <item x="2"/>
        <item x="5"/>
        <item x="9"/>
        <item x="6"/>
        <item x="3"/>
        <item x="8"/>
        <item x="0"/>
        <item x="7"/>
        <item t="default"/>
      </items>
    </pivotField>
    <pivotField numFmtId="164" showAll="0"/>
    <pivotField showAll="0"/>
    <pivotField showAll="0"/>
    <pivotField showAll="0">
      <items count="24">
        <item x="5"/>
        <item x="2"/>
        <item x="11"/>
        <item x="3"/>
        <item x="19"/>
        <item x="15"/>
        <item x="13"/>
        <item x="14"/>
        <item x="18"/>
        <item x="0"/>
        <item x="6"/>
        <item x="12"/>
        <item x="8"/>
        <item x="17"/>
        <item x="4"/>
        <item x="22"/>
        <item x="20"/>
        <item x="10"/>
        <item x="1"/>
        <item x="16"/>
        <item x="9"/>
        <item x="21"/>
        <item x="7"/>
        <item t="default"/>
      </items>
    </pivotField>
    <pivotField showAll="0"/>
    <pivotField showAll="0"/>
    <pivotField numFmtId="4" showAll="0" defaultSubtotal="0"/>
  </pivotFields>
  <rowFields count="1">
    <field x="7"/>
  </rowFields>
  <rowItems count="13">
    <i>
      <x v="1"/>
    </i>
    <i>
      <x v="2"/>
    </i>
    <i>
      <x v="3"/>
    </i>
    <i>
      <x v="4"/>
    </i>
    <i>
      <x v="5"/>
    </i>
    <i>
      <x v="6"/>
    </i>
    <i>
      <x v="7"/>
    </i>
    <i>
      <x v="8"/>
    </i>
    <i>
      <x v="9"/>
    </i>
    <i>
      <x v="10"/>
    </i>
    <i>
      <x v="11"/>
    </i>
    <i>
      <x v="12"/>
    </i>
    <i t="grand">
      <x/>
    </i>
  </rowItems>
  <colItems count="1">
    <i/>
  </colItems>
  <dataFields count="1">
    <dataField name="Sum of TotalSalePrice" fld="20" baseField="0" baseItem="0"/>
  </dataFields>
  <chartFormats count="2">
    <chartFormat chart="0" format="4" series="1">
      <pivotArea type="data" outline="0" fieldPosition="0">
        <references count="1">
          <reference field="4294967294" count="1" selected="0">
            <x v="0"/>
          </reference>
        </references>
      </pivotArea>
    </chartFormat>
    <chartFormat chart="3"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2" cacheId="9"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chartFormat="4">
  <location ref="A3:B6" firstHeaderRow="1" firstDataRow="1" firstDataCol="1"/>
  <pivotFields count="32">
    <pivotField showAll="0"/>
    <pivotField showAll="0"/>
    <pivotField showAll="0"/>
    <pivotField showAll="0"/>
    <pivotField showAll="0"/>
    <pivotField showAll="0"/>
    <pivotField showAll="0"/>
    <pivotField numFmtId="164"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items count="9">
        <item x="7"/>
        <item x="2"/>
        <item x="1"/>
        <item x="6"/>
        <item x="5"/>
        <item x="4"/>
        <item x="0"/>
        <item x="3"/>
        <item t="default"/>
      </items>
    </pivotField>
    <pivotField axis="axisRow" showAll="0">
      <items count="3">
        <item x="0"/>
        <item x="1"/>
        <item t="default"/>
      </items>
    </pivotField>
    <pivotField showAll="0"/>
    <pivotField showAll="0"/>
    <pivotField showAll="0"/>
    <pivotField showAll="0"/>
    <pivotField showAll="0"/>
    <pivotField dataField="1" showAll="0"/>
    <pivotField showAll="0"/>
    <pivotField showAll="0"/>
    <pivotField showAll="0"/>
    <pivotField showAll="0">
      <items count="11">
        <item x="4"/>
        <item x="1"/>
        <item x="2"/>
        <item x="5"/>
        <item x="9"/>
        <item x="6"/>
        <item x="3"/>
        <item x="8"/>
        <item x="0"/>
        <item x="7"/>
        <item t="default"/>
      </items>
    </pivotField>
    <pivotField numFmtId="164" showAll="0"/>
    <pivotField showAll="0"/>
    <pivotField showAll="0"/>
    <pivotField showAll="0">
      <items count="24">
        <item x="5"/>
        <item x="2"/>
        <item x="11"/>
        <item x="3"/>
        <item x="19"/>
        <item x="15"/>
        <item x="13"/>
        <item x="14"/>
        <item x="18"/>
        <item x="0"/>
        <item x="6"/>
        <item x="12"/>
        <item x="8"/>
        <item x="17"/>
        <item x="4"/>
        <item x="22"/>
        <item x="20"/>
        <item x="10"/>
        <item x="1"/>
        <item x="16"/>
        <item x="9"/>
        <item x="21"/>
        <item x="7"/>
        <item t="default"/>
      </items>
    </pivotField>
    <pivotField showAll="0"/>
    <pivotField showAll="0"/>
    <pivotField numFmtId="4" showAll="0" defaultSubtotal="0"/>
  </pivotFields>
  <rowFields count="1">
    <field x="14"/>
  </rowFields>
  <rowItems count="3">
    <i>
      <x/>
    </i>
    <i>
      <x v="1"/>
    </i>
    <i t="grand">
      <x/>
    </i>
  </rowItems>
  <colItems count="1">
    <i/>
  </colItems>
  <dataFields count="1">
    <dataField name="Sum of TotalSalePrice" fld="20" baseField="0" baseItem="0"/>
  </dataFields>
  <chartFormats count="6">
    <chartFormat chart="0" format="5" series="1">
      <pivotArea type="data" outline="0" fieldPosition="0">
        <references count="1">
          <reference field="4294967294" count="1" selected="0">
            <x v="0"/>
          </reference>
        </references>
      </pivotArea>
    </chartFormat>
    <chartFormat chart="3" format="9">
      <pivotArea type="data" outline="0" fieldPosition="0">
        <references count="2">
          <reference field="4294967294" count="1" selected="0">
            <x v="0"/>
          </reference>
          <reference field="14" count="1" selected="0">
            <x v="1"/>
          </reference>
        </references>
      </pivotArea>
    </chartFormat>
    <chartFormat chart="3" format="10" series="1">
      <pivotArea type="data" outline="0" fieldPosition="0">
        <references count="1">
          <reference field="4294967294" count="1" selected="0">
            <x v="0"/>
          </reference>
        </references>
      </pivotArea>
    </chartFormat>
    <chartFormat chart="3" format="11">
      <pivotArea type="data" outline="0" fieldPosition="0">
        <references count="2">
          <reference field="4294967294" count="1" selected="0">
            <x v="0"/>
          </reference>
          <reference field="14" count="1" selected="0">
            <x v="0"/>
          </reference>
        </references>
      </pivotArea>
    </chartFormat>
    <chartFormat chart="0" format="6">
      <pivotArea type="data" outline="0" fieldPosition="0">
        <references count="2">
          <reference field="4294967294" count="1" selected="0">
            <x v="0"/>
          </reference>
          <reference field="14" count="1" selected="0">
            <x v="0"/>
          </reference>
        </references>
      </pivotArea>
    </chartFormat>
    <chartFormat chart="0" format="7">
      <pivotArea type="data" outline="0" fieldPosition="0">
        <references count="2">
          <reference field="4294967294" count="1" selected="0">
            <x v="0"/>
          </reference>
          <reference field="1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3" cacheId="9"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chartFormat="4">
  <location ref="A3:B9" firstHeaderRow="1" firstDataRow="1" firstDataCol="1"/>
  <pivotFields count="32">
    <pivotField showAll="0"/>
    <pivotField showAll="0"/>
    <pivotField showAll="0"/>
    <pivotField showAll="0"/>
    <pivotField showAll="0"/>
    <pivotField showAll="0"/>
    <pivotField showAll="0"/>
    <pivotField numFmtId="164"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items count="9">
        <item x="7"/>
        <item x="2"/>
        <item x="1"/>
        <item x="6"/>
        <item x="5"/>
        <item x="4"/>
        <item x="0"/>
        <item x="3"/>
        <item t="default"/>
      </items>
    </pivotField>
    <pivotField showAll="0">
      <items count="3">
        <item x="0"/>
        <item x="1"/>
        <item t="default"/>
      </items>
    </pivotField>
    <pivotField showAll="0"/>
    <pivotField showAll="0"/>
    <pivotField showAll="0"/>
    <pivotField showAll="0"/>
    <pivotField showAll="0"/>
    <pivotField showAll="0"/>
    <pivotField showAll="0"/>
    <pivotField showAll="0"/>
    <pivotField dataField="1" showAll="0"/>
    <pivotField showAll="0">
      <items count="11">
        <item x="4"/>
        <item x="1"/>
        <item x="2"/>
        <item x="5"/>
        <item x="9"/>
        <item x="6"/>
        <item x="3"/>
        <item x="8"/>
        <item x="0"/>
        <item x="7"/>
        <item t="default"/>
      </items>
    </pivotField>
    <pivotField numFmtId="164" showAll="0"/>
    <pivotField showAll="0"/>
    <pivotField showAll="0"/>
    <pivotField axis="axisRow" showAll="0" measureFilter="1" sortType="ascending">
      <items count="24">
        <item x="5"/>
        <item x="2"/>
        <item x="11"/>
        <item x="3"/>
        <item x="19"/>
        <item x="15"/>
        <item x="13"/>
        <item x="14"/>
        <item x="18"/>
        <item x="0"/>
        <item x="6"/>
        <item x="12"/>
        <item x="8"/>
        <item x="17"/>
        <item x="4"/>
        <item x="22"/>
        <item x="20"/>
        <item x="10"/>
        <item x="1"/>
        <item x="16"/>
        <item x="9"/>
        <item x="21"/>
        <item x="7"/>
        <item t="default"/>
      </items>
      <autoSortScope>
        <pivotArea dataOnly="0" outline="0" fieldPosition="0">
          <references count="1">
            <reference field="4294967294" count="1" selected="0">
              <x v="0"/>
            </reference>
          </references>
        </pivotArea>
      </autoSortScope>
    </pivotField>
    <pivotField showAll="0"/>
    <pivotField showAll="0"/>
    <pivotField numFmtId="4" showAll="0" defaultSubtotal="0"/>
  </pivotFields>
  <rowFields count="1">
    <field x="28"/>
  </rowFields>
  <rowItems count="6">
    <i>
      <x v="18"/>
    </i>
    <i>
      <x v="12"/>
    </i>
    <i>
      <x v="22"/>
    </i>
    <i>
      <x v="1"/>
    </i>
    <i>
      <x v="9"/>
    </i>
    <i t="grand">
      <x/>
    </i>
  </rowItems>
  <colItems count="1">
    <i/>
  </colItems>
  <dataFields count="1">
    <dataField name="Sum of PROFIT" fld="23" baseField="0" baseItem="0"/>
  </dataFields>
  <chartFormats count="3">
    <chartFormat chart="0" format="0"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 chart="3" format="4">
      <pivotArea type="data" outline="0" fieldPosition="0">
        <references count="2">
          <reference field="4294967294" count="1" selected="0">
            <x v="0"/>
          </reference>
          <reference field="28" count="1" selected="0">
            <x v="9"/>
          </reference>
        </references>
      </pivotArea>
    </chartFormat>
  </chartFormats>
  <pivotTableStyleInfo name="PivotStyleLight16" showRowHeaders="1" showColHeaders="1" showRowStripes="0" showColStripes="0" showLastColumn="1"/>
  <filters count="1">
    <filter fld="28" type="count" evalOrder="-1" id="16"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5" cacheId="9"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chartFormat="4">
  <location ref="A3:B12" firstHeaderRow="1" firstDataRow="1" firstDataCol="1"/>
  <pivotFields count="32">
    <pivotField showAll="0"/>
    <pivotField showAll="0"/>
    <pivotField showAll="0"/>
    <pivotField showAll="0"/>
    <pivotField showAll="0"/>
    <pivotField showAll="0"/>
    <pivotField showAll="0"/>
    <pivotField numFmtId="164"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axis="axisRow" showAll="0" sortType="ascending">
      <items count="9">
        <item x="7"/>
        <item x="2"/>
        <item x="1"/>
        <item x="6"/>
        <item x="5"/>
        <item x="4"/>
        <item x="0"/>
        <item x="3"/>
        <item t="default"/>
      </items>
      <autoSortScope>
        <pivotArea dataOnly="0" outline="0" fieldPosition="0">
          <references count="1">
            <reference field="4294967294" count="1" selected="0">
              <x v="0"/>
            </reference>
          </references>
        </pivotArea>
      </autoSortScope>
    </pivotField>
    <pivotField showAll="0">
      <items count="3">
        <item x="0"/>
        <item x="1"/>
        <item t="default"/>
      </items>
    </pivotField>
    <pivotField showAll="0"/>
    <pivotField showAll="0"/>
    <pivotField showAll="0"/>
    <pivotField showAll="0"/>
    <pivotField showAll="0"/>
    <pivotField showAll="0"/>
    <pivotField showAll="0"/>
    <pivotField showAll="0"/>
    <pivotField dataField="1" showAll="0"/>
    <pivotField showAll="0">
      <items count="11">
        <item x="4"/>
        <item x="1"/>
        <item x="2"/>
        <item x="5"/>
        <item x="9"/>
        <item x="6"/>
        <item x="3"/>
        <item x="8"/>
        <item x="0"/>
        <item x="7"/>
        <item t="default"/>
      </items>
    </pivotField>
    <pivotField numFmtId="164" showAll="0"/>
    <pivotField showAll="0"/>
    <pivotField showAll="0"/>
    <pivotField showAll="0">
      <items count="24">
        <item x="5"/>
        <item x="2"/>
        <item x="11"/>
        <item x="3"/>
        <item x="19"/>
        <item x="15"/>
        <item x="13"/>
        <item x="14"/>
        <item x="18"/>
        <item x="0"/>
        <item x="6"/>
        <item x="12"/>
        <item x="8"/>
        <item x="17"/>
        <item x="4"/>
        <item x="22"/>
        <item x="20"/>
        <item x="10"/>
        <item x="1"/>
        <item x="16"/>
        <item x="9"/>
        <item x="21"/>
        <item x="7"/>
        <item t="default"/>
      </items>
    </pivotField>
    <pivotField showAll="0"/>
    <pivotField showAll="0"/>
    <pivotField numFmtId="4" showAll="0" defaultSubtotal="0"/>
  </pivotFields>
  <rowFields count="1">
    <field x="13"/>
  </rowFields>
  <rowItems count="9">
    <i>
      <x/>
    </i>
    <i>
      <x v="3"/>
    </i>
    <i>
      <x v="2"/>
    </i>
    <i>
      <x v="5"/>
    </i>
    <i>
      <x v="7"/>
    </i>
    <i>
      <x v="4"/>
    </i>
    <i>
      <x v="1"/>
    </i>
    <i>
      <x v="6"/>
    </i>
    <i t="grand">
      <x/>
    </i>
  </rowItems>
  <colItems count="1">
    <i/>
  </colItems>
  <dataFields count="1">
    <dataField name="Sum of PROFIT" fld="23" baseField="0" baseItem="0"/>
  </dataFields>
  <chartFormats count="3">
    <chartFormat chart="0" format="2" series="1">
      <pivotArea type="data" outline="0" fieldPosition="0">
        <references count="1">
          <reference field="4294967294" count="1" selected="0">
            <x v="0"/>
          </reference>
        </references>
      </pivotArea>
    </chartFormat>
    <chartFormat chart="3" format="4">
      <pivotArea type="data" outline="0" fieldPosition="0">
        <references count="2">
          <reference field="4294967294" count="1" selected="0">
            <x v="0"/>
          </reference>
          <reference field="13" count="1" selected="0">
            <x v="6"/>
          </reference>
        </references>
      </pivotArea>
    </chartFormat>
    <chartFormat chart="3"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6" cacheId="9"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chartFormat="4">
  <location ref="A3:B9" firstHeaderRow="1" firstDataRow="1" firstDataCol="1"/>
  <pivotFields count="32">
    <pivotField showAll="0"/>
    <pivotField showAll="0"/>
    <pivotField showAll="0"/>
    <pivotField showAll="0"/>
    <pivotField showAll="0"/>
    <pivotField showAll="0"/>
    <pivotField showAll="0"/>
    <pivotField numFmtId="164"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items count="9">
        <item x="7"/>
        <item x="2"/>
        <item x="1"/>
        <item x="6"/>
        <item x="5"/>
        <item x="4"/>
        <item x="0"/>
        <item x="3"/>
        <item t="default"/>
      </items>
    </pivotField>
    <pivotField showAll="0">
      <items count="3">
        <item x="0"/>
        <item x="1"/>
        <item t="default"/>
      </items>
    </pivotField>
    <pivotField showAll="0"/>
    <pivotField showAll="0"/>
    <pivotField showAll="0"/>
    <pivotField showAll="0"/>
    <pivotField showAll="0"/>
    <pivotField showAll="0"/>
    <pivotField dataField="1" showAll="0"/>
    <pivotField showAll="0"/>
    <pivotField showAll="0"/>
    <pivotField showAll="0">
      <items count="11">
        <item x="4"/>
        <item x="1"/>
        <item x="2"/>
        <item x="5"/>
        <item x="9"/>
        <item x="6"/>
        <item x="3"/>
        <item x="8"/>
        <item x="0"/>
        <item x="7"/>
        <item t="default"/>
      </items>
    </pivotField>
    <pivotField numFmtId="164" showAll="0"/>
    <pivotField showAll="0"/>
    <pivotField showAll="0"/>
    <pivotField axis="axisRow" showAll="0" measureFilter="1" sortType="ascending">
      <items count="24">
        <item x="5"/>
        <item x="2"/>
        <item x="11"/>
        <item x="3"/>
        <item x="19"/>
        <item x="15"/>
        <item x="13"/>
        <item x="14"/>
        <item x="18"/>
        <item x="0"/>
        <item x="6"/>
        <item x="12"/>
        <item x="8"/>
        <item x="17"/>
        <item x="4"/>
        <item x="22"/>
        <item x="20"/>
        <item x="10"/>
        <item x="1"/>
        <item x="16"/>
        <item x="9"/>
        <item x="21"/>
        <item x="7"/>
        <item t="default"/>
      </items>
      <autoSortScope>
        <pivotArea dataOnly="0" outline="0" fieldPosition="0">
          <references count="1">
            <reference field="4294967294" count="1" selected="0">
              <x v="0"/>
            </reference>
          </references>
        </pivotArea>
      </autoSortScope>
    </pivotField>
    <pivotField showAll="0"/>
    <pivotField showAll="0"/>
    <pivotField numFmtId="4" showAll="0" defaultSubtotal="0"/>
  </pivotFields>
  <rowFields count="1">
    <field x="28"/>
  </rowFields>
  <rowItems count="6">
    <i>
      <x v="3"/>
    </i>
    <i>
      <x v="12"/>
    </i>
    <i>
      <x v="5"/>
    </i>
    <i>
      <x v="1"/>
    </i>
    <i>
      <x v="9"/>
    </i>
    <i t="grand">
      <x/>
    </i>
  </rowItems>
  <colItems count="1">
    <i/>
  </colItems>
  <dataFields count="1">
    <dataField name="Sum of Total Cost" fld="21" baseField="0" baseItem="0"/>
  </dataFields>
  <chartFormats count="3">
    <chartFormat chart="3" format="3"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0"/>
          </reference>
        </references>
      </pivotArea>
    </chartFormat>
    <chartFormat chart="3" format="4">
      <pivotArea type="data" outline="0" fieldPosition="0">
        <references count="2">
          <reference field="4294967294" count="1" selected="0">
            <x v="0"/>
          </reference>
          <reference field="28" count="1" selected="0">
            <x v="9"/>
          </reference>
        </references>
      </pivotArea>
    </chartFormat>
  </chartFormats>
  <pivotTableStyleInfo name="PivotStyleLight16" showRowHeaders="1" showColHeaders="1" showRowStripes="0" showColStripes="0" showLastColumn="1"/>
  <filters count="1">
    <filter fld="28" type="count" evalOrder="-1" id="17"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7" cacheId="9"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location ref="A3:C27" firstHeaderRow="0" firstDataRow="1" firstDataCol="1"/>
  <pivotFields count="32">
    <pivotField showAll="0"/>
    <pivotField showAll="0"/>
    <pivotField showAll="0"/>
    <pivotField showAll="0"/>
    <pivotField showAll="0"/>
    <pivotField showAll="0"/>
    <pivotField showAll="0"/>
    <pivotField numFmtId="164"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items count="9">
        <item x="7"/>
        <item x="2"/>
        <item x="1"/>
        <item x="6"/>
        <item x="5"/>
        <item x="4"/>
        <item x="0"/>
        <item x="3"/>
        <item t="default"/>
      </items>
    </pivotField>
    <pivotField showAll="0">
      <items count="3">
        <item x="0"/>
        <item x="1"/>
        <item t="default"/>
      </items>
    </pivotField>
    <pivotField showAll="0"/>
    <pivotField showAll="0"/>
    <pivotField showAll="0"/>
    <pivotField showAll="0"/>
    <pivotField showAll="0"/>
    <pivotField dataField="1" showAll="0"/>
    <pivotField showAll="0"/>
    <pivotField showAll="0"/>
    <pivotField dataField="1" showAll="0"/>
    <pivotField showAll="0">
      <items count="11">
        <item x="4"/>
        <item x="1"/>
        <item x="2"/>
        <item x="5"/>
        <item x="9"/>
        <item x="6"/>
        <item x="3"/>
        <item x="8"/>
        <item x="0"/>
        <item x="7"/>
        <item t="default"/>
      </items>
    </pivotField>
    <pivotField numFmtId="164" showAll="0"/>
    <pivotField showAll="0"/>
    <pivotField showAll="0"/>
    <pivotField axis="axisRow" showAll="0" sortType="descending">
      <items count="24">
        <item x="5"/>
        <item x="2"/>
        <item x="11"/>
        <item x="3"/>
        <item x="19"/>
        <item x="15"/>
        <item x="13"/>
        <item x="14"/>
        <item x="18"/>
        <item x="0"/>
        <item x="6"/>
        <item x="12"/>
        <item x="8"/>
        <item x="17"/>
        <item x="4"/>
        <item x="22"/>
        <item x="20"/>
        <item x="10"/>
        <item x="1"/>
        <item x="16"/>
        <item x="9"/>
        <item x="21"/>
        <item x="7"/>
        <item t="default"/>
      </items>
      <autoSortScope>
        <pivotArea dataOnly="0" outline="0" fieldPosition="0">
          <references count="1">
            <reference field="4294967294" count="1" selected="0">
              <x v="0"/>
            </reference>
          </references>
        </pivotArea>
      </autoSortScope>
    </pivotField>
    <pivotField showAll="0"/>
    <pivotField showAll="0"/>
    <pivotField numFmtId="4" showAll="0" defaultSubtotal="0"/>
  </pivotFields>
  <rowFields count="1">
    <field x="28"/>
  </rowFields>
  <rowItems count="24">
    <i>
      <x v="9"/>
    </i>
    <i>
      <x v="1"/>
    </i>
    <i>
      <x v="12"/>
    </i>
    <i>
      <x v="5"/>
    </i>
    <i>
      <x v="3"/>
    </i>
    <i>
      <x v="20"/>
    </i>
    <i>
      <x v="18"/>
    </i>
    <i>
      <x v="10"/>
    </i>
    <i>
      <x v="22"/>
    </i>
    <i>
      <x v="14"/>
    </i>
    <i>
      <x/>
    </i>
    <i>
      <x v="13"/>
    </i>
    <i>
      <x v="16"/>
    </i>
    <i>
      <x v="11"/>
    </i>
    <i>
      <x v="7"/>
    </i>
    <i>
      <x v="6"/>
    </i>
    <i>
      <x v="8"/>
    </i>
    <i>
      <x v="21"/>
    </i>
    <i>
      <x v="2"/>
    </i>
    <i>
      <x v="17"/>
    </i>
    <i>
      <x v="4"/>
    </i>
    <i>
      <x v="15"/>
    </i>
    <i>
      <x v="19"/>
    </i>
    <i t="grand">
      <x/>
    </i>
  </rowItems>
  <colFields count="1">
    <field x="-2"/>
  </colFields>
  <colItems count="2">
    <i>
      <x/>
    </i>
    <i i="1">
      <x v="1"/>
    </i>
  </colItems>
  <dataFields count="2">
    <dataField name="Sum of TotalSalePrice" fld="20" baseField="0" baseItem="0"/>
    <dataField name="Sum of PROFIT" fld="2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2" cacheId="9"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C4" firstHeaderRow="0" firstDataRow="1" firstDataCol="0"/>
  <pivotFields count="32">
    <pivotField showAll="0"/>
    <pivotField showAll="0"/>
    <pivotField showAll="0"/>
    <pivotField showAll="0"/>
    <pivotField dataField="1" showAll="0"/>
    <pivotField showAll="0"/>
    <pivotField showAll="0"/>
    <pivotField numFmtId="164"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numFmtId="164" showAll="0"/>
    <pivotField showAll="0"/>
    <pivotField showAll="0"/>
    <pivotField showAll="0"/>
    <pivotField showAll="0"/>
    <pivotField showAll="0"/>
    <pivotField dataField="1" numFmtId="4" showAll="0" defaultSubtotal="0"/>
  </pivotFields>
  <rowItems count="1">
    <i/>
  </rowItems>
  <colFields count="1">
    <field x="-2"/>
  </colFields>
  <colItems count="3">
    <i>
      <x/>
    </i>
    <i i="1">
      <x v="1"/>
    </i>
    <i i="2">
      <x v="2"/>
    </i>
  </colItems>
  <dataFields count="3">
    <dataField name="Sum of ss" fld="31" baseField="0" baseItem="0"/>
    <dataField name="Sum of TotalSalePrice" fld="20" baseField="0" baseItem="0"/>
    <dataField name="Sum of SalePrice"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Country.SalesRegion" sourceName="Country.SalesRegion">
  <pivotTables>
    <pivotTable tabId="7" name="PivotTable6"/>
    <pivotTable tabId="6" name="PivotTable5"/>
    <pivotTable tabId="3" name="PivotTable2"/>
    <pivotTable tabId="9" name="PivotTable7"/>
    <pivotTable tabId="4" name="PivotTable3"/>
    <pivotTable tabId="2" name="total sale by date"/>
  </pivotTables>
  <data>
    <tabular pivotCacheId="1">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MakeName" sourceName="MakeName">
  <pivotTables>
    <pivotTable tabId="6" name="PivotTable5"/>
    <pivotTable tabId="3" name="PivotTable2"/>
    <pivotTable tabId="9" name="PivotTable7"/>
    <pivotTable tabId="2" name="total sale by date"/>
  </pivotTables>
  <data>
    <tabular pivotCacheId="1">
      <items count="23">
        <i x="5" s="1"/>
        <i x="2" s="1"/>
        <i x="11" s="1"/>
        <i x="3" s="1"/>
        <i x="19" s="1"/>
        <i x="15" s="1"/>
        <i x="13" s="1"/>
        <i x="14" s="1"/>
        <i x="18" s="1"/>
        <i x="0" s="1"/>
        <i x="6" s="1"/>
        <i x="12" s="1"/>
        <i x="8" s="1"/>
        <i x="17" s="1"/>
        <i x="4" s="1"/>
        <i x="22" s="1"/>
        <i x="20" s="1"/>
        <i x="10" s="1"/>
        <i x="1" s="1"/>
        <i x="16" s="1"/>
        <i x="9" s="1"/>
        <i x="21" s="1"/>
        <i x="7"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CountryName" sourceName="CountryName">
  <pivotTables>
    <pivotTable tabId="7" name="PivotTable6"/>
    <pivotTable tabId="6" name="PivotTable5"/>
    <pivotTable tabId="3" name="PivotTable2"/>
    <pivotTable tabId="9" name="PivotTable7"/>
    <pivotTable tabId="4" name="PivotTable3"/>
    <pivotTable tabId="2" name="total sale by date"/>
  </pivotTables>
  <data>
    <tabular pivotCacheId="1">
      <items count="8">
        <i x="7" s="1"/>
        <i x="2" s="1"/>
        <i x="1" s="1"/>
        <i x="6" s="1"/>
        <i x="5" s="1"/>
        <i x="4" s="1"/>
        <i x="0"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Stock.Color" sourceName="Stock.Color">
  <pivotTables>
    <pivotTable tabId="7" name="PivotTable6"/>
    <pivotTable tabId="6" name="PivotTable5"/>
    <pivotTable tabId="3" name="PivotTable2"/>
    <pivotTable tabId="9" name="PivotTable7"/>
    <pivotTable tabId="4" name="PivotTable3"/>
    <pivotTable tabId="2" name="total sale by date"/>
  </pivotTables>
  <data>
    <tabular pivotCacheId="1">
      <items count="10">
        <i x="4" s="1"/>
        <i x="1" s="1"/>
        <i x="2" s="1"/>
        <i x="5" s="1"/>
        <i x="9" s="1"/>
        <i x="6" s="1"/>
        <i x="3" s="1"/>
        <i x="8" s="1"/>
        <i x="0" s="1"/>
        <i x="7"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Country.SalesRegion" cache="Slicer_Country.SalesRegion" caption="Country.SalesRegion" rowHeight="234950"/>
  <slicer name="MakeName" cache="Slicer_MakeName" caption="MakeName" rowHeight="234950"/>
  <slicer name="CountryName" cache="Slicer_CountryName" caption="CountryName" rowHeight="234950"/>
  <slicer name="Stock.Color" cache="Slicer_Stock.Color" caption="Stock.Color" rowHeight="234950"/>
</slicers>
</file>

<file path=xl/slicers/slicer2.xml><?xml version="1.0" encoding="utf-8"?>
<slicers xmlns="http://schemas.microsoft.com/office/spreadsheetml/2009/9/main" xmlns:mc="http://schemas.openxmlformats.org/markup-compatibility/2006" xmlns:x="http://schemas.openxmlformats.org/spreadsheetml/2006/main" mc:Ignorable="x">
  <slicer name="Country.SalesRegion 1" cache="Slicer_Country.SalesRegion" caption="Country.SalesRegion" columnCount="2" style="Slicer Style 1" rowHeight="234950"/>
  <slicer name="MakeName 2" cache="Slicer_MakeName" caption="MakeName" columnCount="2" style="Slicer Style 1" rowHeight="234950"/>
  <slicer name="CountryName 1" cache="Slicer_CountryName" caption="CountryName" columnCount="2" style="Slicer Style 1" rowHeight="234950"/>
  <slicer name="Stock.Color 1" cache="Slicer_Stock.Color" caption="Stock.Color" columnCount="2" style="Slicer Style 1" rowHeight="234950"/>
</slicers>
</file>

<file path=xl/tables/table1.xml><?xml version="1.0" encoding="utf-8"?>
<table xmlns="http://schemas.openxmlformats.org/spreadsheetml/2006/main" id="1" name="Table1" displayName="Table1" ref="A1:AF352" totalsRowShown="0" headerRowDxfId="3">
  <autoFilter ref="A1:AF352"/>
  <tableColumns count="32">
    <tableColumn id="1" name="SalesDetailsID"/>
    <tableColumn id="2" name="SalesID"/>
    <tableColumn id="3" name="LineItemNumber"/>
    <tableColumn id="4" name="StockID"/>
    <tableColumn id="5" name="SalePrice"/>
    <tableColumn id="6" name="LineItemDiscount"/>
    <tableColumn id="7" name="CustomerID"/>
    <tableColumn id="8" name="SaleDate" dataDxfId="2"/>
    <tableColumn id="9" name="Data Sales.ID"/>
    <tableColumn id="10" name="CustomerName"/>
    <tableColumn id="11" name="Customer.Address1"/>
    <tableColumn id="12" name="Customer.Town"/>
    <tableColumn id="13" name="Customer.Country"/>
    <tableColumn id="14" name="CountryName"/>
    <tableColumn id="15" name="Country.SalesRegion"/>
    <tableColumn id="16" name="ModelID"/>
    <tableColumn id="17" name="Stock.Cost"/>
    <tableColumn id="18" name="Stock.RepairsCost"/>
    <tableColumn id="19" name="Stock.PartsCost"/>
    <tableColumn id="20" name="Stock.TransportInCost"/>
    <tableColumn id="21" name="TotalSalePrice"/>
    <tableColumn id="22" name="Total Cost"/>
    <tableColumn id="23" name="Profit Percentege"/>
    <tableColumn id="24" name="PROFIT"/>
    <tableColumn id="25" name="Stock.Color"/>
    <tableColumn id="26" name="Stock.DateBought" dataDxfId="1"/>
    <tableColumn id="27" name="MakeID"/>
    <tableColumn id="28" name="ModelName"/>
    <tableColumn id="29" name="MakeName"/>
    <tableColumn id="30" name="MakeCountry"/>
    <tableColumn id="31" name="Day">
      <calculatedColumnFormula>TEXT(H2,"dddd")</calculatedColumnFormula>
    </tableColumn>
    <tableColumn id="32" name="ss" dataDxfId="0">
      <calculatedColumnFormula>Table1[[#This Row],[Total Cost]]+Table1[[#This Row],[PROFIT]]</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name="NativeTimeline_SaleDate" sourceName="SaleDate">
  <pivotTables>
    <pivotTable tabId="2" name="total sale by date"/>
    <pivotTable tabId="6" name="PivotTable5"/>
    <pivotTable tabId="3" name="PivotTable2"/>
    <pivotTable tabId="9" name="PivotTable7"/>
    <pivotTable tabId="4" name="PivotTable3"/>
    <pivotTable tabId="7" name="PivotTable6"/>
  </pivotTables>
  <state minimalRefreshVersion="6" lastRefreshVersion="6" pivotCacheId="1" filterType="unknown">
    <bounds startDate="2015-01-01T08:00:00" endDate="2020-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mc:Ignorable="x">
  <timeline name="SaleDate" cache="NativeTimeline_SaleDate" caption="SaleDate" level="2" selectionLevel="2" scrollPosition="2017-10-10T00:00:00"/>
</timelines>
</file>

<file path=xl/timelines/timeline2.xml><?xml version="1.0" encoding="utf-8"?>
<timelines xmlns="http://schemas.microsoft.com/office/spreadsheetml/2010/11/main" xmlns:mc="http://schemas.openxmlformats.org/markup-compatibility/2006" xmlns:x="http://schemas.openxmlformats.org/spreadsheetml/2006/main" mc:Ignorable="x">
  <timeline name="SaleDate 1" cache="NativeTimeline_SaleDate" caption="SaleDate" level="2" selectionLevel="2" scrollPosition="2015-01-01T00:00:00" style="Timeline Style 1"/>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6.xml"/><Relationship Id="rId1" Type="http://schemas.openxmlformats.org/officeDocument/2006/relationships/printerSettings" Target="../printerSettings/printerSettings1.bin"/><Relationship Id="rId4" Type="http://schemas.microsoft.com/office/2011/relationships/timeline" Target="../timelines/timeline2.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16"/>
  <sheetViews>
    <sheetView workbookViewId="0">
      <selection activeCell="H24" sqref="H24"/>
    </sheetView>
  </sheetViews>
  <sheetFormatPr defaultRowHeight="14.4" x14ac:dyDescent="0.3"/>
  <cols>
    <col min="1" max="1" width="12.5546875" customWidth="1"/>
    <col min="2" max="2" width="19.44140625" customWidth="1"/>
    <col min="3" max="3" width="13.5546875" customWidth="1"/>
  </cols>
  <sheetData>
    <row r="3" spans="1:2" x14ac:dyDescent="0.3">
      <c r="A3" s="4" t="s">
        <v>717</v>
      </c>
      <c r="B3" t="s">
        <v>732</v>
      </c>
    </row>
    <row r="4" spans="1:2" x14ac:dyDescent="0.3">
      <c r="A4" s="5" t="s">
        <v>719</v>
      </c>
      <c r="B4" s="7">
        <v>2133210.1</v>
      </c>
    </row>
    <row r="5" spans="1:2" x14ac:dyDescent="0.3">
      <c r="A5" s="5" t="s">
        <v>720</v>
      </c>
      <c r="B5" s="7">
        <v>2365080</v>
      </c>
    </row>
    <row r="6" spans="1:2" x14ac:dyDescent="0.3">
      <c r="A6" s="5" t="s">
        <v>721</v>
      </c>
      <c r="B6" s="7">
        <v>2926161.1</v>
      </c>
    </row>
    <row r="7" spans="1:2" x14ac:dyDescent="0.3">
      <c r="A7" s="5" t="s">
        <v>722</v>
      </c>
      <c r="B7" s="7">
        <v>2515435</v>
      </c>
    </row>
    <row r="8" spans="1:2" x14ac:dyDescent="0.3">
      <c r="A8" s="5" t="s">
        <v>723</v>
      </c>
      <c r="B8" s="7">
        <v>3219445</v>
      </c>
    </row>
    <row r="9" spans="1:2" x14ac:dyDescent="0.3">
      <c r="A9" s="5" t="s">
        <v>724</v>
      </c>
      <c r="B9" s="7">
        <v>1082175</v>
      </c>
    </row>
    <row r="10" spans="1:2" x14ac:dyDescent="0.3">
      <c r="A10" s="5" t="s">
        <v>725</v>
      </c>
      <c r="B10" s="7">
        <v>2677205</v>
      </c>
    </row>
    <row r="11" spans="1:2" x14ac:dyDescent="0.3">
      <c r="A11" s="5" t="s">
        <v>726</v>
      </c>
      <c r="B11" s="7">
        <v>2063545</v>
      </c>
    </row>
    <row r="12" spans="1:2" x14ac:dyDescent="0.3">
      <c r="A12" s="5" t="s">
        <v>727</v>
      </c>
      <c r="B12" s="7">
        <v>1844495</v>
      </c>
    </row>
    <row r="13" spans="1:2" x14ac:dyDescent="0.3">
      <c r="A13" s="5" t="s">
        <v>728</v>
      </c>
      <c r="B13" s="7">
        <v>1229580</v>
      </c>
    </row>
    <row r="14" spans="1:2" x14ac:dyDescent="0.3">
      <c r="A14" s="5" t="s">
        <v>729</v>
      </c>
      <c r="B14" s="7">
        <v>805230</v>
      </c>
    </row>
    <row r="15" spans="1:2" x14ac:dyDescent="0.3">
      <c r="A15" s="5" t="s">
        <v>730</v>
      </c>
      <c r="B15" s="7">
        <v>2376530</v>
      </c>
    </row>
    <row r="16" spans="1:2" x14ac:dyDescent="0.3">
      <c r="A16" s="5" t="s">
        <v>718</v>
      </c>
      <c r="B16" s="7">
        <v>25238091.199999999</v>
      </c>
    </row>
  </sheetData>
  <pageMargins left="0.7" right="0.7" top="0.75" bottom="0.75" header="0.3" footer="0.3"/>
  <drawing r:id="rId2"/>
  <extLs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6"/>
  <sheetViews>
    <sheetView workbookViewId="0">
      <selection activeCell="M8" sqref="M8"/>
    </sheetView>
  </sheetViews>
  <sheetFormatPr defaultRowHeight="14.4" x14ac:dyDescent="0.3"/>
  <cols>
    <col min="1" max="1" width="12.88671875" bestFit="1" customWidth="1"/>
    <col min="2" max="2" width="19.44140625" bestFit="1" customWidth="1"/>
  </cols>
  <sheetData>
    <row r="3" spans="1:2" x14ac:dyDescent="0.3">
      <c r="A3" s="4" t="s">
        <v>717</v>
      </c>
      <c r="B3" t="s">
        <v>732</v>
      </c>
    </row>
    <row r="4" spans="1:2" x14ac:dyDescent="0.3">
      <c r="A4" s="6" t="s">
        <v>36</v>
      </c>
      <c r="B4" s="7">
        <v>23242471.199999999</v>
      </c>
    </row>
    <row r="5" spans="1:2" x14ac:dyDescent="0.3">
      <c r="A5" s="6" t="s">
        <v>91</v>
      </c>
      <c r="B5" s="7">
        <v>1995620</v>
      </c>
    </row>
    <row r="6" spans="1:2" x14ac:dyDescent="0.3">
      <c r="A6" s="6" t="s">
        <v>718</v>
      </c>
      <c r="B6" s="7">
        <v>25238091.199999999</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9"/>
  <sheetViews>
    <sheetView workbookViewId="0">
      <selection activeCell="G24" sqref="G24"/>
    </sheetView>
  </sheetViews>
  <sheetFormatPr defaultRowHeight="14.4" x14ac:dyDescent="0.3"/>
  <cols>
    <col min="1" max="1" width="12.5546875" customWidth="1"/>
    <col min="2" max="2" width="13.5546875" bestFit="1" customWidth="1"/>
  </cols>
  <sheetData>
    <row r="3" spans="1:2" x14ac:dyDescent="0.3">
      <c r="A3" s="4" t="s">
        <v>717</v>
      </c>
      <c r="B3" t="s">
        <v>731</v>
      </c>
    </row>
    <row r="4" spans="1:2" x14ac:dyDescent="0.3">
      <c r="A4" s="6" t="s">
        <v>51</v>
      </c>
      <c r="B4" s="7">
        <v>436503</v>
      </c>
    </row>
    <row r="5" spans="1:2" x14ac:dyDescent="0.3">
      <c r="A5" s="6" t="s">
        <v>181</v>
      </c>
      <c r="B5" s="7">
        <v>515520</v>
      </c>
    </row>
    <row r="6" spans="1:2" x14ac:dyDescent="0.3">
      <c r="A6" s="6" t="s">
        <v>134</v>
      </c>
      <c r="B6" s="7">
        <v>691532</v>
      </c>
    </row>
    <row r="7" spans="1:2" x14ac:dyDescent="0.3">
      <c r="A7" s="6" t="s">
        <v>70</v>
      </c>
      <c r="B7" s="7">
        <v>1306107.1000000001</v>
      </c>
    </row>
    <row r="8" spans="1:2" x14ac:dyDescent="0.3">
      <c r="A8" s="6" t="s">
        <v>39</v>
      </c>
      <c r="B8" s="7">
        <v>1373245.1</v>
      </c>
    </row>
    <row r="9" spans="1:2" x14ac:dyDescent="0.3">
      <c r="A9" s="6" t="s">
        <v>718</v>
      </c>
      <c r="B9" s="7">
        <v>4322907.2</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12"/>
  <sheetViews>
    <sheetView workbookViewId="0">
      <selection activeCell="C6" sqref="C6"/>
    </sheetView>
  </sheetViews>
  <sheetFormatPr defaultRowHeight="14.4" x14ac:dyDescent="0.3"/>
  <cols>
    <col min="1" max="1" width="14" customWidth="1"/>
    <col min="2" max="2" width="13.5546875" bestFit="1" customWidth="1"/>
  </cols>
  <sheetData>
    <row r="3" spans="1:2" x14ac:dyDescent="0.3">
      <c r="A3" s="4" t="s">
        <v>717</v>
      </c>
      <c r="B3" t="s">
        <v>731</v>
      </c>
    </row>
    <row r="4" spans="1:2" x14ac:dyDescent="0.3">
      <c r="A4" s="6" t="s">
        <v>267</v>
      </c>
      <c r="B4" s="7">
        <v>168193</v>
      </c>
    </row>
    <row r="5" spans="1:2" x14ac:dyDescent="0.3">
      <c r="A5" s="6" t="s">
        <v>241</v>
      </c>
      <c r="B5" s="7">
        <v>180392</v>
      </c>
    </row>
    <row r="6" spans="1:2" x14ac:dyDescent="0.3">
      <c r="A6" s="6" t="s">
        <v>58</v>
      </c>
      <c r="B6" s="7">
        <v>209953</v>
      </c>
    </row>
    <row r="7" spans="1:2" x14ac:dyDescent="0.3">
      <c r="A7" s="6" t="s">
        <v>155</v>
      </c>
      <c r="B7" s="7">
        <v>238578</v>
      </c>
    </row>
    <row r="8" spans="1:2" x14ac:dyDescent="0.3">
      <c r="A8" s="6" t="s">
        <v>90</v>
      </c>
      <c r="B8" s="7">
        <v>303472</v>
      </c>
    </row>
    <row r="9" spans="1:2" x14ac:dyDescent="0.3">
      <c r="A9" s="6" t="s">
        <v>235</v>
      </c>
      <c r="B9" s="7">
        <v>1083017</v>
      </c>
    </row>
    <row r="10" spans="1:2" x14ac:dyDescent="0.3">
      <c r="A10" s="6" t="s">
        <v>65</v>
      </c>
      <c r="B10" s="7">
        <v>1601117</v>
      </c>
    </row>
    <row r="11" spans="1:2" x14ac:dyDescent="0.3">
      <c r="A11" s="6" t="s">
        <v>35</v>
      </c>
      <c r="B11" s="7">
        <v>2730227.2</v>
      </c>
    </row>
    <row r="12" spans="1:2" x14ac:dyDescent="0.3">
      <c r="A12" s="6" t="s">
        <v>718</v>
      </c>
      <c r="B12" s="7">
        <v>6514949.2000000002</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9"/>
  <sheetViews>
    <sheetView workbookViewId="0">
      <selection activeCell="A3" sqref="A3"/>
    </sheetView>
  </sheetViews>
  <sheetFormatPr defaultRowHeight="14.4" x14ac:dyDescent="0.3"/>
  <cols>
    <col min="1" max="1" width="12.5546875" bestFit="1" customWidth="1"/>
    <col min="2" max="2" width="15.88671875" bestFit="1" customWidth="1"/>
  </cols>
  <sheetData>
    <row r="3" spans="1:2" x14ac:dyDescent="0.3">
      <c r="A3" s="4" t="s">
        <v>717</v>
      </c>
      <c r="B3" t="s">
        <v>733</v>
      </c>
    </row>
    <row r="4" spans="1:2" x14ac:dyDescent="0.3">
      <c r="A4" s="6" t="s">
        <v>98</v>
      </c>
      <c r="B4" s="7">
        <v>1412612</v>
      </c>
    </row>
    <row r="5" spans="1:2" x14ac:dyDescent="0.3">
      <c r="A5" s="6" t="s">
        <v>181</v>
      </c>
      <c r="B5" s="7">
        <v>1447580</v>
      </c>
    </row>
    <row r="6" spans="1:2" x14ac:dyDescent="0.3">
      <c r="A6" s="6" t="s">
        <v>382</v>
      </c>
      <c r="B6" s="7">
        <v>1592157</v>
      </c>
    </row>
    <row r="7" spans="1:2" x14ac:dyDescent="0.3">
      <c r="A7" s="6" t="s">
        <v>70</v>
      </c>
      <c r="B7" s="7">
        <v>4359219</v>
      </c>
    </row>
    <row r="8" spans="1:2" x14ac:dyDescent="0.3">
      <c r="A8" s="6" t="s">
        <v>39</v>
      </c>
      <c r="B8" s="7">
        <v>4687155</v>
      </c>
    </row>
    <row r="9" spans="1:2" x14ac:dyDescent="0.3">
      <c r="A9" s="6" t="s">
        <v>718</v>
      </c>
      <c r="B9" s="7">
        <v>13498723</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I1:AJ14"/>
  <sheetViews>
    <sheetView zoomScale="59" zoomScaleNormal="91" workbookViewId="0">
      <selection activeCell="AC22" sqref="AC22"/>
    </sheetView>
  </sheetViews>
  <sheetFormatPr defaultRowHeight="14.4" x14ac:dyDescent="0.3"/>
  <cols>
    <col min="1" max="1" width="1.77734375" style="8" customWidth="1"/>
    <col min="2" max="35" width="8.88671875" style="8"/>
    <col min="36" max="36" width="17.77734375" style="8" bestFit="1" customWidth="1"/>
    <col min="37" max="16384" width="8.88671875" style="8"/>
  </cols>
  <sheetData>
    <row r="1" spans="35:36" ht="4.95" customHeight="1" x14ac:dyDescent="0.3"/>
    <row r="11" spans="35:36" x14ac:dyDescent="0.3">
      <c r="AJ11" s="9">
        <f>GETPIVOTDATA("Sum of PROFIT",Sheet9!$A$3)</f>
        <v>6514949.2000000002</v>
      </c>
    </row>
    <row r="12" spans="35:36" x14ac:dyDescent="0.3">
      <c r="AJ12" s="9">
        <f>GETPIVOTDATA("Sum of TotalSalePrice",Sheet9!$A$3)</f>
        <v>25238091.199999999</v>
      </c>
    </row>
    <row r="13" spans="35:36" x14ac:dyDescent="0.3">
      <c r="AI13" s="8" t="s">
        <v>734</v>
      </c>
      <c r="AJ13" s="10">
        <f>GETPIVOTDATA("Sum of PROFIT",Sheet9!$A$3)/GETPIVOTDATA("Sum of TotalSalePrice",Sheet9!$A$3)</f>
        <v>0.25813953790609967</v>
      </c>
    </row>
    <row r="14" spans="35:36" x14ac:dyDescent="0.3">
      <c r="AI14" s="8" t="s">
        <v>735</v>
      </c>
      <c r="AJ14" s="8" t="str">
        <f>Sheet9!A4</f>
        <v>Ferrari</v>
      </c>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C27"/>
  <sheetViews>
    <sheetView workbookViewId="0">
      <selection activeCell="B4" sqref="B4"/>
    </sheetView>
  </sheetViews>
  <sheetFormatPr defaultRowHeight="14.4" x14ac:dyDescent="0.3"/>
  <cols>
    <col min="1" max="1" width="12.5546875" bestFit="1" customWidth="1"/>
    <col min="2" max="2" width="19.44140625" bestFit="1" customWidth="1"/>
    <col min="3" max="3" width="13.5546875" bestFit="1" customWidth="1"/>
  </cols>
  <sheetData>
    <row r="3" spans="1:3" x14ac:dyDescent="0.3">
      <c r="A3" s="4" t="s">
        <v>717</v>
      </c>
      <c r="B3" t="s">
        <v>732</v>
      </c>
      <c r="C3" t="s">
        <v>731</v>
      </c>
    </row>
    <row r="4" spans="1:3" x14ac:dyDescent="0.3">
      <c r="A4" s="6" t="s">
        <v>39</v>
      </c>
      <c r="B4" s="7">
        <v>6060400.0999999996</v>
      </c>
      <c r="C4" s="7">
        <v>1373245.1</v>
      </c>
    </row>
    <row r="5" spans="1:3" x14ac:dyDescent="0.3">
      <c r="A5" s="6" t="s">
        <v>70</v>
      </c>
      <c r="B5" s="7">
        <v>5665326.0999999996</v>
      </c>
      <c r="C5" s="7">
        <v>1306107.1000000001</v>
      </c>
    </row>
    <row r="6" spans="1:3" x14ac:dyDescent="0.3">
      <c r="A6" s="6" t="s">
        <v>181</v>
      </c>
      <c r="B6" s="7">
        <v>1963100</v>
      </c>
      <c r="C6" s="7">
        <v>515520</v>
      </c>
    </row>
    <row r="7" spans="1:3" x14ac:dyDescent="0.3">
      <c r="A7" s="6" t="s">
        <v>382</v>
      </c>
      <c r="B7" s="7">
        <v>1905500</v>
      </c>
      <c r="C7" s="7">
        <v>313343</v>
      </c>
    </row>
    <row r="8" spans="1:3" x14ac:dyDescent="0.3">
      <c r="A8" s="6" t="s">
        <v>98</v>
      </c>
      <c r="B8" s="7">
        <v>1788840</v>
      </c>
      <c r="C8" s="7">
        <v>376228</v>
      </c>
    </row>
    <row r="9" spans="1:3" x14ac:dyDescent="0.3">
      <c r="A9" s="6" t="s">
        <v>303</v>
      </c>
      <c r="B9" s="7">
        <v>1637000</v>
      </c>
      <c r="C9" s="7">
        <v>248825</v>
      </c>
    </row>
    <row r="10" spans="1:3" x14ac:dyDescent="0.3">
      <c r="A10" s="6" t="s">
        <v>51</v>
      </c>
      <c r="B10" s="7">
        <v>1454440</v>
      </c>
      <c r="C10" s="7">
        <v>436503</v>
      </c>
    </row>
    <row r="11" spans="1:3" x14ac:dyDescent="0.3">
      <c r="A11" s="6" t="s">
        <v>122</v>
      </c>
      <c r="B11" s="7">
        <v>1180895</v>
      </c>
      <c r="C11" s="7">
        <v>422874</v>
      </c>
    </row>
    <row r="12" spans="1:3" x14ac:dyDescent="0.3">
      <c r="A12" s="6" t="s">
        <v>134</v>
      </c>
      <c r="B12" s="7">
        <v>1061910</v>
      </c>
      <c r="C12" s="7">
        <v>691532</v>
      </c>
    </row>
    <row r="13" spans="1:3" x14ac:dyDescent="0.3">
      <c r="A13" s="6" t="s">
        <v>112</v>
      </c>
      <c r="B13" s="7">
        <v>726115</v>
      </c>
      <c r="C13" s="7">
        <v>319011</v>
      </c>
    </row>
    <row r="14" spans="1:3" x14ac:dyDescent="0.3">
      <c r="A14" s="6" t="s">
        <v>117</v>
      </c>
      <c r="B14" s="7">
        <v>417550</v>
      </c>
      <c r="C14" s="7">
        <v>190722</v>
      </c>
    </row>
    <row r="15" spans="1:3" x14ac:dyDescent="0.3">
      <c r="A15" s="6" t="s">
        <v>415</v>
      </c>
      <c r="B15" s="7">
        <v>295000</v>
      </c>
      <c r="C15" s="7">
        <v>44650</v>
      </c>
    </row>
    <row r="16" spans="1:3" x14ac:dyDescent="0.3">
      <c r="A16" s="6" t="s">
        <v>434</v>
      </c>
      <c r="B16" s="7">
        <v>223350</v>
      </c>
      <c r="C16" s="7">
        <v>45850</v>
      </c>
    </row>
    <row r="17" spans="1:3" x14ac:dyDescent="0.3">
      <c r="A17" s="6" t="s">
        <v>361</v>
      </c>
      <c r="B17" s="7">
        <v>218000</v>
      </c>
      <c r="C17" s="7">
        <v>36350</v>
      </c>
    </row>
    <row r="18" spans="1:3" x14ac:dyDescent="0.3">
      <c r="A18" s="6" t="s">
        <v>377</v>
      </c>
      <c r="B18" s="7">
        <v>132000</v>
      </c>
      <c r="C18" s="7">
        <v>38893</v>
      </c>
    </row>
    <row r="19" spans="1:3" x14ac:dyDescent="0.3">
      <c r="A19" s="6" t="s">
        <v>373</v>
      </c>
      <c r="B19" s="7">
        <v>126580</v>
      </c>
      <c r="C19" s="7">
        <v>37274</v>
      </c>
    </row>
    <row r="20" spans="1:3" x14ac:dyDescent="0.3">
      <c r="A20" s="6" t="s">
        <v>420</v>
      </c>
      <c r="B20" s="7">
        <v>99500</v>
      </c>
      <c r="C20" s="7">
        <v>16910</v>
      </c>
    </row>
    <row r="21" spans="1:3" x14ac:dyDescent="0.3">
      <c r="A21" s="6" t="s">
        <v>594</v>
      </c>
      <c r="B21" s="7">
        <v>74140</v>
      </c>
      <c r="C21" s="7">
        <v>60913</v>
      </c>
    </row>
    <row r="22" spans="1:3" x14ac:dyDescent="0.3">
      <c r="A22" s="6" t="s">
        <v>351</v>
      </c>
      <c r="B22" s="7">
        <v>64500</v>
      </c>
      <c r="C22" s="7">
        <v>1380</v>
      </c>
    </row>
    <row r="23" spans="1:3" x14ac:dyDescent="0.3">
      <c r="A23" s="6" t="s">
        <v>336</v>
      </c>
      <c r="B23" s="7">
        <v>63045</v>
      </c>
      <c r="C23" s="7">
        <v>32209</v>
      </c>
    </row>
    <row r="24" spans="1:3" x14ac:dyDescent="0.3">
      <c r="A24" s="6" t="s">
        <v>426</v>
      </c>
      <c r="B24" s="7">
        <v>60500</v>
      </c>
      <c r="C24" s="7">
        <v>7500</v>
      </c>
    </row>
    <row r="25" spans="1:3" x14ac:dyDescent="0.3">
      <c r="A25" s="6" t="s">
        <v>628</v>
      </c>
      <c r="B25" s="7">
        <v>18500</v>
      </c>
      <c r="C25" s="7">
        <v>1530</v>
      </c>
    </row>
    <row r="26" spans="1:3" x14ac:dyDescent="0.3">
      <c r="A26" s="6" t="s">
        <v>412</v>
      </c>
      <c r="B26" s="7">
        <v>1900</v>
      </c>
      <c r="C26" s="7">
        <v>-2420</v>
      </c>
    </row>
    <row r="27" spans="1:3" x14ac:dyDescent="0.3">
      <c r="A27" s="6" t="s">
        <v>718</v>
      </c>
      <c r="B27" s="7">
        <v>25238091.199999999</v>
      </c>
      <c r="C27" s="7">
        <v>6514949.2000000002</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C4"/>
  <sheetViews>
    <sheetView tabSelected="1" workbookViewId="0">
      <selection activeCell="A4" sqref="A4"/>
    </sheetView>
  </sheetViews>
  <sheetFormatPr defaultRowHeight="14.4" x14ac:dyDescent="0.3"/>
  <cols>
    <col min="1" max="1" width="11" customWidth="1"/>
    <col min="2" max="2" width="19.44140625" customWidth="1"/>
    <col min="3" max="3" width="15.109375" customWidth="1"/>
  </cols>
  <sheetData>
    <row r="3" spans="1:3" x14ac:dyDescent="0.3">
      <c r="A3" t="s">
        <v>737</v>
      </c>
      <c r="B3" t="s">
        <v>732</v>
      </c>
      <c r="C3" t="s">
        <v>738</v>
      </c>
    </row>
    <row r="4" spans="1:3" x14ac:dyDescent="0.3">
      <c r="A4" s="7">
        <v>25238091.199999999</v>
      </c>
      <c r="B4" s="7">
        <v>25238091.199999999</v>
      </c>
      <c r="C4" s="7">
        <v>22047450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F352"/>
  <sheetViews>
    <sheetView topLeftCell="A2" workbookViewId="0">
      <selection activeCell="AE16" sqref="A2:AF352"/>
    </sheetView>
  </sheetViews>
  <sheetFormatPr defaultRowHeight="14.4" x14ac:dyDescent="0.3"/>
  <cols>
    <col min="1" max="1" width="14.44140625" customWidth="1"/>
    <col min="3" max="3" width="17.109375" customWidth="1"/>
    <col min="4" max="4" width="9.33203125" customWidth="1"/>
    <col min="5" max="5" width="10.44140625" customWidth="1"/>
    <col min="6" max="6" width="17.5546875" customWidth="1"/>
    <col min="7" max="7" width="12.77734375" customWidth="1"/>
    <col min="8" max="8" width="18.109375" bestFit="1" customWidth="1"/>
    <col min="9" max="9" width="13.77734375" customWidth="1"/>
    <col min="10" max="10" width="16" customWidth="1"/>
    <col min="11" max="11" width="19.21875" customWidth="1"/>
    <col min="12" max="12" width="16.21875" customWidth="1"/>
    <col min="13" max="13" width="18.33203125" customWidth="1"/>
    <col min="14" max="14" width="14.6640625" customWidth="1"/>
    <col min="15" max="15" width="20.21875" customWidth="1"/>
    <col min="16" max="16" width="10.109375" customWidth="1"/>
    <col min="17" max="17" width="11.77734375" customWidth="1"/>
    <col min="18" max="18" width="17.88671875" customWidth="1"/>
    <col min="19" max="19" width="16" customWidth="1"/>
    <col min="20" max="20" width="21.5546875" customWidth="1"/>
    <col min="21" max="21" width="14.6640625" customWidth="1"/>
    <col min="22" max="22" width="13.77734375" bestFit="1" customWidth="1"/>
    <col min="23" max="23" width="17.44140625" customWidth="1"/>
    <col min="24" max="24" width="11.44140625" bestFit="1" customWidth="1"/>
    <col min="25" max="25" width="12.5546875" customWidth="1"/>
    <col min="26" max="26" width="18.109375" bestFit="1" customWidth="1"/>
    <col min="27" max="27" width="9.44140625" customWidth="1"/>
    <col min="28" max="28" width="13.33203125" customWidth="1"/>
    <col min="29" max="29" width="12.6640625" customWidth="1"/>
    <col min="30" max="30" width="14.44140625" customWidth="1"/>
    <col min="31" max="31" width="10.44140625" bestFit="1" customWidth="1"/>
    <col min="32" max="32" width="10" style="12" bestFit="1" customWidth="1"/>
  </cols>
  <sheetData>
    <row r="1" spans="1:32"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3" t="s">
        <v>716</v>
      </c>
      <c r="AF1" s="11" t="s">
        <v>736</v>
      </c>
    </row>
    <row r="2" spans="1:32" x14ac:dyDescent="0.3">
      <c r="A2">
        <v>1</v>
      </c>
      <c r="B2">
        <v>1</v>
      </c>
      <c r="C2">
        <v>1</v>
      </c>
      <c r="D2" t="s">
        <v>30</v>
      </c>
      <c r="E2">
        <v>65000</v>
      </c>
      <c r="F2">
        <v>2700</v>
      </c>
      <c r="G2">
        <v>1</v>
      </c>
      <c r="H2" s="2">
        <v>42006.333333333343</v>
      </c>
      <c r="I2">
        <v>1</v>
      </c>
      <c r="J2" t="s">
        <v>31</v>
      </c>
      <c r="K2" t="s">
        <v>32</v>
      </c>
      <c r="L2" t="s">
        <v>33</v>
      </c>
      <c r="M2" t="s">
        <v>34</v>
      </c>
      <c r="N2" t="s">
        <v>35</v>
      </c>
      <c r="O2" t="s">
        <v>36</v>
      </c>
      <c r="P2">
        <v>2</v>
      </c>
      <c r="Q2">
        <v>52000</v>
      </c>
      <c r="R2">
        <v>2175</v>
      </c>
      <c r="S2">
        <v>1500</v>
      </c>
      <c r="T2">
        <v>750</v>
      </c>
      <c r="U2">
        <v>65000</v>
      </c>
      <c r="V2">
        <v>56425</v>
      </c>
      <c r="W2">
        <v>0.15197164377492259</v>
      </c>
      <c r="X2">
        <v>8575</v>
      </c>
      <c r="Y2" t="s">
        <v>37</v>
      </c>
      <c r="Z2" s="2">
        <v>42005</v>
      </c>
      <c r="AA2">
        <v>1</v>
      </c>
      <c r="AB2" t="s">
        <v>38</v>
      </c>
      <c r="AC2" t="s">
        <v>39</v>
      </c>
      <c r="AD2" t="s">
        <v>40</v>
      </c>
      <c r="AE2" t="str">
        <f>TEXT(H2,"dddd")</f>
        <v>Friday</v>
      </c>
      <c r="AF2" s="12">
        <f>Table1[[#This Row],[Total Cost]]+Table1[[#This Row],[PROFIT]]</f>
        <v>65000</v>
      </c>
    </row>
    <row r="3" spans="1:32" x14ac:dyDescent="0.3">
      <c r="A3">
        <v>2</v>
      </c>
      <c r="B3">
        <v>2</v>
      </c>
      <c r="C3">
        <v>1</v>
      </c>
      <c r="D3" t="s">
        <v>41</v>
      </c>
      <c r="E3">
        <v>220000</v>
      </c>
      <c r="F3">
        <v>60000</v>
      </c>
      <c r="G3">
        <v>2</v>
      </c>
      <c r="H3" s="2">
        <v>42029</v>
      </c>
      <c r="I3">
        <v>2</v>
      </c>
      <c r="J3" t="s">
        <v>42</v>
      </c>
      <c r="K3" t="s">
        <v>43</v>
      </c>
      <c r="L3" t="s">
        <v>33</v>
      </c>
      <c r="M3" t="s">
        <v>34</v>
      </c>
      <c r="N3" t="s">
        <v>35</v>
      </c>
      <c r="O3" t="s">
        <v>36</v>
      </c>
      <c r="P3">
        <v>3</v>
      </c>
      <c r="Q3">
        <v>176000</v>
      </c>
      <c r="R3">
        <v>5500</v>
      </c>
      <c r="S3">
        <v>2200</v>
      </c>
      <c r="T3">
        <v>1950</v>
      </c>
      <c r="U3">
        <v>220000.1</v>
      </c>
      <c r="V3">
        <v>185650</v>
      </c>
      <c r="W3">
        <v>0.18502612442768651</v>
      </c>
      <c r="X3">
        <v>34350.100000000013</v>
      </c>
      <c r="Y3" t="s">
        <v>44</v>
      </c>
      <c r="Z3" s="2">
        <v>42014</v>
      </c>
      <c r="AA3">
        <v>1</v>
      </c>
      <c r="AB3" t="s">
        <v>45</v>
      </c>
      <c r="AC3" t="s">
        <v>39</v>
      </c>
      <c r="AD3" t="s">
        <v>40</v>
      </c>
      <c r="AE3" t="str">
        <f t="shared" ref="AE3:AE66" si="0">TEXT(H3,"dddd")</f>
        <v>Sunday</v>
      </c>
      <c r="AF3" s="12">
        <f>Table1[[#This Row],[Total Cost]]+Table1[[#This Row],[PROFIT]]</f>
        <v>220000.1</v>
      </c>
    </row>
    <row r="4" spans="1:32" x14ac:dyDescent="0.3">
      <c r="A4">
        <v>3</v>
      </c>
      <c r="B4">
        <v>3</v>
      </c>
      <c r="C4">
        <v>1</v>
      </c>
      <c r="D4" t="s">
        <v>46</v>
      </c>
      <c r="E4">
        <v>19500</v>
      </c>
      <c r="F4">
        <v>2266.5966386554619</v>
      </c>
      <c r="G4">
        <v>3</v>
      </c>
      <c r="H4" s="2">
        <v>42038.416666666657</v>
      </c>
      <c r="I4">
        <v>3</v>
      </c>
      <c r="J4" t="s">
        <v>47</v>
      </c>
      <c r="K4" t="s">
        <v>48</v>
      </c>
      <c r="L4" t="s">
        <v>33</v>
      </c>
      <c r="M4" t="s">
        <v>34</v>
      </c>
      <c r="N4" t="s">
        <v>35</v>
      </c>
      <c r="O4" t="s">
        <v>36</v>
      </c>
      <c r="P4">
        <v>11</v>
      </c>
      <c r="Q4">
        <v>15600</v>
      </c>
      <c r="R4">
        <v>660</v>
      </c>
      <c r="S4">
        <v>0</v>
      </c>
      <c r="T4">
        <v>150</v>
      </c>
      <c r="U4">
        <v>19500</v>
      </c>
      <c r="V4">
        <v>16410</v>
      </c>
      <c r="W4">
        <v>0.1882998171846435</v>
      </c>
      <c r="X4">
        <v>3090</v>
      </c>
      <c r="Y4" t="s">
        <v>49</v>
      </c>
      <c r="Z4" s="2">
        <v>42033</v>
      </c>
      <c r="AA4">
        <v>2</v>
      </c>
      <c r="AB4" t="s">
        <v>50</v>
      </c>
      <c r="AC4" t="s">
        <v>51</v>
      </c>
      <c r="AD4" t="s">
        <v>52</v>
      </c>
      <c r="AE4" t="str">
        <f t="shared" si="0"/>
        <v>Tuesday</v>
      </c>
      <c r="AF4" s="12">
        <f>Table1[[#This Row],[Total Cost]]+Table1[[#This Row],[PROFIT]]</f>
        <v>19500</v>
      </c>
    </row>
    <row r="5" spans="1:32" x14ac:dyDescent="0.3">
      <c r="A5">
        <v>4</v>
      </c>
      <c r="B5">
        <v>4</v>
      </c>
      <c r="C5">
        <v>1</v>
      </c>
      <c r="D5" t="s">
        <v>53</v>
      </c>
      <c r="E5">
        <v>11500</v>
      </c>
      <c r="F5">
        <v>2266.5966386554619</v>
      </c>
      <c r="G5">
        <v>4</v>
      </c>
      <c r="H5" s="2">
        <v>42051.333333333343</v>
      </c>
      <c r="I5">
        <v>4</v>
      </c>
      <c r="J5" t="s">
        <v>54</v>
      </c>
      <c r="K5" t="s">
        <v>55</v>
      </c>
      <c r="L5" t="s">
        <v>56</v>
      </c>
      <c r="M5" t="s">
        <v>57</v>
      </c>
      <c r="N5" t="s">
        <v>58</v>
      </c>
      <c r="O5" t="s">
        <v>36</v>
      </c>
      <c r="P5">
        <v>12</v>
      </c>
      <c r="Q5">
        <v>9200</v>
      </c>
      <c r="R5">
        <v>500</v>
      </c>
      <c r="S5">
        <v>750</v>
      </c>
      <c r="T5">
        <v>150</v>
      </c>
      <c r="U5">
        <v>11500</v>
      </c>
      <c r="V5">
        <v>10600</v>
      </c>
      <c r="W5">
        <v>8.4905660377358583E-2</v>
      </c>
      <c r="X5">
        <v>900</v>
      </c>
      <c r="Y5" t="s">
        <v>49</v>
      </c>
      <c r="Z5" s="2">
        <v>42049</v>
      </c>
      <c r="AA5">
        <v>2</v>
      </c>
      <c r="AB5" t="s">
        <v>59</v>
      </c>
      <c r="AC5" t="s">
        <v>51</v>
      </c>
      <c r="AD5" t="s">
        <v>52</v>
      </c>
      <c r="AE5" t="str">
        <f t="shared" si="0"/>
        <v>Monday</v>
      </c>
      <c r="AF5" s="12">
        <f>Table1[[#This Row],[Total Cost]]+Table1[[#This Row],[PROFIT]]</f>
        <v>11500</v>
      </c>
    </row>
    <row r="6" spans="1:32" x14ac:dyDescent="0.3">
      <c r="A6">
        <v>5</v>
      </c>
      <c r="B6">
        <v>5</v>
      </c>
      <c r="C6">
        <v>1</v>
      </c>
      <c r="D6" t="s">
        <v>60</v>
      </c>
      <c r="E6">
        <v>19950</v>
      </c>
      <c r="F6">
        <v>2266.5966386554619</v>
      </c>
      <c r="G6">
        <v>5</v>
      </c>
      <c r="H6" s="2">
        <v>42006.439583333333</v>
      </c>
      <c r="I6">
        <v>5</v>
      </c>
      <c r="J6" t="s">
        <v>61</v>
      </c>
      <c r="K6" t="s">
        <v>62</v>
      </c>
      <c r="L6" t="s">
        <v>63</v>
      </c>
      <c r="M6" t="s">
        <v>64</v>
      </c>
      <c r="N6" t="s">
        <v>65</v>
      </c>
      <c r="O6" t="s">
        <v>36</v>
      </c>
      <c r="P6">
        <v>13</v>
      </c>
      <c r="Q6">
        <v>15960</v>
      </c>
      <c r="R6">
        <v>1360</v>
      </c>
      <c r="S6">
        <v>500</v>
      </c>
      <c r="T6">
        <v>150</v>
      </c>
      <c r="U6">
        <v>19900</v>
      </c>
      <c r="V6">
        <v>17970</v>
      </c>
      <c r="W6">
        <v>0.10740122426266011</v>
      </c>
      <c r="X6">
        <v>1930</v>
      </c>
      <c r="Y6" t="s">
        <v>37</v>
      </c>
      <c r="Z6" s="2">
        <v>42005</v>
      </c>
      <c r="AA6">
        <v>2</v>
      </c>
      <c r="AB6" t="s">
        <v>66</v>
      </c>
      <c r="AC6" t="s">
        <v>51</v>
      </c>
      <c r="AD6" t="s">
        <v>52</v>
      </c>
      <c r="AE6" t="str">
        <f t="shared" si="0"/>
        <v>Friday</v>
      </c>
      <c r="AF6" s="12">
        <f>Table1[[#This Row],[Total Cost]]+Table1[[#This Row],[PROFIT]]</f>
        <v>19900</v>
      </c>
    </row>
    <row r="7" spans="1:32" x14ac:dyDescent="0.3">
      <c r="A7">
        <v>6</v>
      </c>
      <c r="B7">
        <v>6</v>
      </c>
      <c r="C7">
        <v>1</v>
      </c>
      <c r="D7" t="s">
        <v>67</v>
      </c>
      <c r="E7">
        <v>29500</v>
      </c>
      <c r="F7">
        <v>1250</v>
      </c>
      <c r="G7">
        <v>1</v>
      </c>
      <c r="H7" s="2">
        <v>42077</v>
      </c>
      <c r="I7">
        <v>6</v>
      </c>
      <c r="J7" t="s">
        <v>31</v>
      </c>
      <c r="K7" t="s">
        <v>32</v>
      </c>
      <c r="L7" t="s">
        <v>33</v>
      </c>
      <c r="M7" t="s">
        <v>34</v>
      </c>
      <c r="N7" t="s">
        <v>35</v>
      </c>
      <c r="O7" t="s">
        <v>36</v>
      </c>
      <c r="P7">
        <v>22</v>
      </c>
      <c r="Q7">
        <v>23600</v>
      </c>
      <c r="R7">
        <v>500</v>
      </c>
      <c r="S7">
        <v>750</v>
      </c>
      <c r="T7">
        <v>150</v>
      </c>
      <c r="U7">
        <v>29500</v>
      </c>
      <c r="V7">
        <v>25000</v>
      </c>
      <c r="W7">
        <v>0.17999999999999991</v>
      </c>
      <c r="X7">
        <v>4500</v>
      </c>
      <c r="Y7" t="s">
        <v>68</v>
      </c>
      <c r="Z7" s="2">
        <v>42068</v>
      </c>
      <c r="AA7">
        <v>4</v>
      </c>
      <c r="AB7" t="s">
        <v>69</v>
      </c>
      <c r="AC7" t="s">
        <v>70</v>
      </c>
      <c r="AD7" t="s">
        <v>71</v>
      </c>
      <c r="AE7" t="str">
        <f t="shared" si="0"/>
        <v>Saturday</v>
      </c>
      <c r="AF7" s="12">
        <f>Table1[[#This Row],[Total Cost]]+Table1[[#This Row],[PROFIT]]</f>
        <v>29500</v>
      </c>
    </row>
    <row r="8" spans="1:32" x14ac:dyDescent="0.3">
      <c r="A8">
        <v>7</v>
      </c>
      <c r="B8">
        <v>7</v>
      </c>
      <c r="C8">
        <v>1</v>
      </c>
      <c r="D8" t="s">
        <v>72</v>
      </c>
      <c r="E8">
        <v>49500</v>
      </c>
      <c r="F8">
        <v>2450</v>
      </c>
      <c r="G8">
        <v>3</v>
      </c>
      <c r="H8" s="2">
        <v>42087</v>
      </c>
      <c r="I8">
        <v>7</v>
      </c>
      <c r="J8" t="s">
        <v>47</v>
      </c>
      <c r="K8" t="s">
        <v>48</v>
      </c>
      <c r="L8" t="s">
        <v>33</v>
      </c>
      <c r="M8" t="s">
        <v>34</v>
      </c>
      <c r="N8" t="s">
        <v>35</v>
      </c>
      <c r="O8" t="s">
        <v>36</v>
      </c>
      <c r="P8">
        <v>23</v>
      </c>
      <c r="Q8">
        <v>39600</v>
      </c>
      <c r="R8">
        <v>2500</v>
      </c>
      <c r="S8">
        <v>1500</v>
      </c>
      <c r="T8">
        <v>550</v>
      </c>
      <c r="U8">
        <v>49500.2</v>
      </c>
      <c r="V8">
        <v>44150</v>
      </c>
      <c r="W8">
        <v>0.1211823329558324</v>
      </c>
      <c r="X8">
        <v>5350.1999999999971</v>
      </c>
      <c r="Y8" t="s">
        <v>73</v>
      </c>
      <c r="Z8" s="2">
        <v>42078</v>
      </c>
      <c r="AA8">
        <v>4</v>
      </c>
      <c r="AB8" t="s">
        <v>74</v>
      </c>
      <c r="AC8" t="s">
        <v>70</v>
      </c>
      <c r="AD8" t="s">
        <v>71</v>
      </c>
      <c r="AE8" t="str">
        <f t="shared" si="0"/>
        <v>Tuesday</v>
      </c>
      <c r="AF8" s="12">
        <f>Table1[[#This Row],[Total Cost]]+Table1[[#This Row],[PROFIT]]</f>
        <v>49500.2</v>
      </c>
    </row>
    <row r="9" spans="1:32" x14ac:dyDescent="0.3">
      <c r="A9">
        <v>8</v>
      </c>
      <c r="B9">
        <v>8</v>
      </c>
      <c r="C9">
        <v>1</v>
      </c>
      <c r="D9" t="s">
        <v>75</v>
      </c>
      <c r="E9">
        <v>76000</v>
      </c>
      <c r="F9">
        <v>5500</v>
      </c>
      <c r="G9">
        <v>7</v>
      </c>
      <c r="H9" s="2">
        <v>42093</v>
      </c>
      <c r="I9">
        <v>8</v>
      </c>
      <c r="J9" t="s">
        <v>76</v>
      </c>
      <c r="K9" t="s">
        <v>77</v>
      </c>
      <c r="L9" t="s">
        <v>78</v>
      </c>
      <c r="M9" t="s">
        <v>34</v>
      </c>
      <c r="N9" t="s">
        <v>35</v>
      </c>
      <c r="O9" t="s">
        <v>36</v>
      </c>
      <c r="P9">
        <v>24</v>
      </c>
      <c r="Q9">
        <v>60800</v>
      </c>
      <c r="R9">
        <v>3250</v>
      </c>
      <c r="S9">
        <v>750</v>
      </c>
      <c r="T9">
        <v>750</v>
      </c>
      <c r="U9">
        <v>76000.899999999994</v>
      </c>
      <c r="V9">
        <v>65550</v>
      </c>
      <c r="W9">
        <v>0.15943401983218911</v>
      </c>
      <c r="X9">
        <v>10450.899999999991</v>
      </c>
      <c r="Y9" t="s">
        <v>79</v>
      </c>
      <c r="Z9" s="2">
        <v>42089</v>
      </c>
      <c r="AA9">
        <v>4</v>
      </c>
      <c r="AB9" t="s">
        <v>80</v>
      </c>
      <c r="AC9" t="s">
        <v>70</v>
      </c>
      <c r="AD9" t="s">
        <v>71</v>
      </c>
      <c r="AE9" t="str">
        <f t="shared" si="0"/>
        <v>Monday</v>
      </c>
      <c r="AF9" s="12">
        <f>Table1[[#This Row],[Total Cost]]+Table1[[#This Row],[PROFIT]]</f>
        <v>76000.899999999994</v>
      </c>
    </row>
    <row r="10" spans="1:32" x14ac:dyDescent="0.3">
      <c r="A10">
        <v>9</v>
      </c>
      <c r="B10">
        <v>9</v>
      </c>
      <c r="C10">
        <v>1</v>
      </c>
      <c r="D10" t="s">
        <v>81</v>
      </c>
      <c r="E10">
        <v>19600</v>
      </c>
      <c r="F10">
        <v>2266.5966386554619</v>
      </c>
      <c r="G10">
        <v>8</v>
      </c>
      <c r="H10" s="2">
        <v>42100</v>
      </c>
      <c r="I10">
        <v>9</v>
      </c>
      <c r="J10" t="s">
        <v>82</v>
      </c>
      <c r="K10" t="s">
        <v>83</v>
      </c>
      <c r="L10" t="s">
        <v>84</v>
      </c>
      <c r="M10" t="s">
        <v>64</v>
      </c>
      <c r="N10" t="s">
        <v>65</v>
      </c>
      <c r="O10" t="s">
        <v>36</v>
      </c>
      <c r="P10">
        <v>11</v>
      </c>
      <c r="Q10">
        <v>15680</v>
      </c>
      <c r="R10">
        <v>890</v>
      </c>
      <c r="S10">
        <v>500</v>
      </c>
      <c r="T10">
        <v>150</v>
      </c>
      <c r="U10">
        <v>19600</v>
      </c>
      <c r="V10">
        <v>17220</v>
      </c>
      <c r="W10">
        <v>0.13821138211382111</v>
      </c>
      <c r="X10">
        <v>2380</v>
      </c>
      <c r="Y10" t="s">
        <v>44</v>
      </c>
      <c r="Z10" s="2">
        <v>42098</v>
      </c>
      <c r="AA10">
        <v>2</v>
      </c>
      <c r="AB10" t="s">
        <v>50</v>
      </c>
      <c r="AC10" t="s">
        <v>51</v>
      </c>
      <c r="AD10" t="s">
        <v>52</v>
      </c>
      <c r="AE10" t="str">
        <f t="shared" si="0"/>
        <v>Monday</v>
      </c>
      <c r="AF10" s="12">
        <f>Table1[[#This Row],[Total Cost]]+Table1[[#This Row],[PROFIT]]</f>
        <v>19600</v>
      </c>
    </row>
    <row r="11" spans="1:32" x14ac:dyDescent="0.3">
      <c r="A11">
        <v>10</v>
      </c>
      <c r="B11">
        <v>10</v>
      </c>
      <c r="C11">
        <v>1</v>
      </c>
      <c r="D11" t="s">
        <v>85</v>
      </c>
      <c r="E11">
        <v>36500</v>
      </c>
      <c r="F11">
        <v>2500</v>
      </c>
      <c r="G11">
        <v>9</v>
      </c>
      <c r="H11" s="2">
        <v>42098</v>
      </c>
      <c r="I11">
        <v>10</v>
      </c>
      <c r="J11" t="s">
        <v>86</v>
      </c>
      <c r="K11" t="s">
        <v>87</v>
      </c>
      <c r="L11" t="s">
        <v>88</v>
      </c>
      <c r="M11" t="s">
        <v>89</v>
      </c>
      <c r="N11" t="s">
        <v>90</v>
      </c>
      <c r="O11" t="s">
        <v>91</v>
      </c>
      <c r="P11">
        <v>23</v>
      </c>
      <c r="Q11">
        <v>29200</v>
      </c>
      <c r="R11">
        <v>1950</v>
      </c>
      <c r="S11">
        <v>500</v>
      </c>
      <c r="T11">
        <v>550</v>
      </c>
      <c r="U11">
        <v>36500</v>
      </c>
      <c r="V11">
        <v>32200</v>
      </c>
      <c r="W11">
        <v>0.13354037267080751</v>
      </c>
      <c r="X11">
        <v>4300</v>
      </c>
      <c r="Y11" t="s">
        <v>44</v>
      </c>
      <c r="Z11" s="2">
        <v>42096</v>
      </c>
      <c r="AA11">
        <v>4</v>
      </c>
      <c r="AB11" t="s">
        <v>74</v>
      </c>
      <c r="AC11" t="s">
        <v>70</v>
      </c>
      <c r="AD11" t="s">
        <v>71</v>
      </c>
      <c r="AE11" t="str">
        <f t="shared" si="0"/>
        <v>Saturday</v>
      </c>
      <c r="AF11" s="12">
        <f>Table1[[#This Row],[Total Cost]]+Table1[[#This Row],[PROFIT]]</f>
        <v>36500</v>
      </c>
    </row>
    <row r="12" spans="1:32" x14ac:dyDescent="0.3">
      <c r="A12">
        <v>11</v>
      </c>
      <c r="B12">
        <v>11</v>
      </c>
      <c r="C12">
        <v>1</v>
      </c>
      <c r="D12" t="s">
        <v>92</v>
      </c>
      <c r="E12">
        <v>8500</v>
      </c>
      <c r="F12">
        <v>50</v>
      </c>
      <c r="G12">
        <v>10</v>
      </c>
      <c r="H12" s="2">
        <v>42124</v>
      </c>
      <c r="I12">
        <v>11</v>
      </c>
      <c r="J12" t="s">
        <v>93</v>
      </c>
      <c r="K12" t="s">
        <v>94</v>
      </c>
      <c r="L12" t="s">
        <v>95</v>
      </c>
      <c r="M12" t="s">
        <v>34</v>
      </c>
      <c r="N12" t="s">
        <v>35</v>
      </c>
      <c r="O12" t="s">
        <v>36</v>
      </c>
      <c r="P12">
        <v>13</v>
      </c>
      <c r="Q12">
        <v>6800</v>
      </c>
      <c r="R12">
        <v>250</v>
      </c>
      <c r="S12">
        <v>225</v>
      </c>
      <c r="T12">
        <v>150</v>
      </c>
      <c r="U12">
        <v>89000</v>
      </c>
      <c r="V12">
        <v>7425</v>
      </c>
      <c r="W12">
        <v>10.98653198653199</v>
      </c>
      <c r="X12">
        <v>81575</v>
      </c>
      <c r="Y12" t="s">
        <v>44</v>
      </c>
      <c r="Z12" s="2">
        <v>42109</v>
      </c>
      <c r="AA12">
        <v>2</v>
      </c>
      <c r="AB12" t="s">
        <v>66</v>
      </c>
      <c r="AC12" t="s">
        <v>51</v>
      </c>
      <c r="AD12" t="s">
        <v>52</v>
      </c>
      <c r="AE12" t="str">
        <f t="shared" si="0"/>
        <v>Thursday</v>
      </c>
      <c r="AF12" s="12">
        <f>Table1[[#This Row],[Total Cost]]+Table1[[#This Row],[PROFIT]]</f>
        <v>89000</v>
      </c>
    </row>
    <row r="13" spans="1:32" x14ac:dyDescent="0.3">
      <c r="A13">
        <v>12</v>
      </c>
      <c r="B13">
        <v>11</v>
      </c>
      <c r="C13">
        <v>2</v>
      </c>
      <c r="D13" t="s">
        <v>96</v>
      </c>
      <c r="E13">
        <v>80500</v>
      </c>
      <c r="F13">
        <v>500</v>
      </c>
      <c r="G13">
        <v>10</v>
      </c>
      <c r="H13" s="2">
        <v>42124</v>
      </c>
      <c r="I13">
        <v>11</v>
      </c>
      <c r="J13" t="s">
        <v>93</v>
      </c>
      <c r="K13" t="s">
        <v>94</v>
      </c>
      <c r="L13" t="s">
        <v>95</v>
      </c>
      <c r="M13" t="s">
        <v>34</v>
      </c>
      <c r="N13" t="s">
        <v>35</v>
      </c>
      <c r="O13" t="s">
        <v>36</v>
      </c>
      <c r="P13">
        <v>32</v>
      </c>
      <c r="Q13">
        <v>64400</v>
      </c>
      <c r="R13">
        <v>500</v>
      </c>
      <c r="S13">
        <v>750</v>
      </c>
      <c r="T13">
        <v>750</v>
      </c>
      <c r="U13">
        <v>89000</v>
      </c>
      <c r="V13">
        <v>66400</v>
      </c>
      <c r="W13">
        <v>0.34036144578313249</v>
      </c>
      <c r="X13">
        <v>22600</v>
      </c>
      <c r="Y13" t="s">
        <v>49</v>
      </c>
      <c r="Z13" s="2">
        <v>42125</v>
      </c>
      <c r="AA13">
        <v>5</v>
      </c>
      <c r="AB13" t="s">
        <v>97</v>
      </c>
      <c r="AC13" t="s">
        <v>98</v>
      </c>
      <c r="AD13" t="s">
        <v>71</v>
      </c>
      <c r="AE13" t="str">
        <f t="shared" si="0"/>
        <v>Thursday</v>
      </c>
      <c r="AF13" s="12">
        <f>Table1[[#This Row],[Total Cost]]+Table1[[#This Row],[PROFIT]]</f>
        <v>89000</v>
      </c>
    </row>
    <row r="14" spans="1:32" x14ac:dyDescent="0.3">
      <c r="A14">
        <v>13</v>
      </c>
      <c r="B14">
        <v>12</v>
      </c>
      <c r="C14">
        <v>1</v>
      </c>
      <c r="D14" t="s">
        <v>99</v>
      </c>
      <c r="E14">
        <v>169500</v>
      </c>
      <c r="F14">
        <v>2266.5966386554619</v>
      </c>
      <c r="G14">
        <v>11</v>
      </c>
      <c r="H14" s="2">
        <v>42134</v>
      </c>
      <c r="I14">
        <v>12</v>
      </c>
      <c r="J14" t="s">
        <v>100</v>
      </c>
      <c r="K14" t="s">
        <v>101</v>
      </c>
      <c r="L14" t="s">
        <v>95</v>
      </c>
      <c r="M14" t="s">
        <v>34</v>
      </c>
      <c r="N14" t="s">
        <v>35</v>
      </c>
      <c r="O14" t="s">
        <v>36</v>
      </c>
      <c r="P14">
        <v>3</v>
      </c>
      <c r="Q14">
        <v>135600</v>
      </c>
      <c r="R14">
        <v>5500</v>
      </c>
      <c r="S14">
        <v>2200</v>
      </c>
      <c r="T14">
        <v>1950</v>
      </c>
      <c r="U14">
        <v>169500</v>
      </c>
      <c r="V14">
        <v>145250</v>
      </c>
      <c r="W14">
        <v>0.16695352839931149</v>
      </c>
      <c r="X14">
        <v>24250</v>
      </c>
      <c r="Y14" t="s">
        <v>73</v>
      </c>
      <c r="Z14" s="2">
        <v>42139</v>
      </c>
      <c r="AA14">
        <v>1</v>
      </c>
      <c r="AB14" t="s">
        <v>45</v>
      </c>
      <c r="AC14" t="s">
        <v>39</v>
      </c>
      <c r="AD14" t="s">
        <v>40</v>
      </c>
      <c r="AE14" t="str">
        <f t="shared" si="0"/>
        <v>Sunday</v>
      </c>
      <c r="AF14" s="12">
        <f>Table1[[#This Row],[Total Cost]]+Table1[[#This Row],[PROFIT]]</f>
        <v>169500</v>
      </c>
    </row>
    <row r="15" spans="1:32" x14ac:dyDescent="0.3">
      <c r="A15">
        <v>14</v>
      </c>
      <c r="B15">
        <v>13</v>
      </c>
      <c r="C15">
        <v>1</v>
      </c>
      <c r="D15" t="s">
        <v>102</v>
      </c>
      <c r="E15">
        <v>8950</v>
      </c>
      <c r="F15">
        <v>25</v>
      </c>
      <c r="G15">
        <v>8</v>
      </c>
      <c r="H15" s="2">
        <v>42144</v>
      </c>
      <c r="I15">
        <v>13</v>
      </c>
      <c r="J15" t="s">
        <v>82</v>
      </c>
      <c r="K15" t="s">
        <v>83</v>
      </c>
      <c r="L15" t="s">
        <v>84</v>
      </c>
      <c r="M15" t="s">
        <v>64</v>
      </c>
      <c r="N15" t="s">
        <v>65</v>
      </c>
      <c r="O15" t="s">
        <v>36</v>
      </c>
      <c r="P15">
        <v>13</v>
      </c>
      <c r="Q15">
        <v>7160</v>
      </c>
      <c r="R15">
        <v>500</v>
      </c>
      <c r="S15">
        <v>750</v>
      </c>
      <c r="T15">
        <v>150</v>
      </c>
      <c r="U15">
        <v>8950</v>
      </c>
      <c r="V15">
        <v>8560</v>
      </c>
      <c r="W15">
        <v>4.5560747663551338E-2</v>
      </c>
      <c r="X15">
        <v>390</v>
      </c>
      <c r="Y15" t="s">
        <v>103</v>
      </c>
      <c r="Z15" s="2">
        <v>42150</v>
      </c>
      <c r="AA15">
        <v>2</v>
      </c>
      <c r="AB15" t="s">
        <v>66</v>
      </c>
      <c r="AC15" t="s">
        <v>51</v>
      </c>
      <c r="AD15" t="s">
        <v>52</v>
      </c>
      <c r="AE15" t="str">
        <f t="shared" si="0"/>
        <v>Wednesday</v>
      </c>
      <c r="AF15" s="12">
        <f>Table1[[#This Row],[Total Cost]]+Table1[[#This Row],[PROFIT]]</f>
        <v>8950</v>
      </c>
    </row>
    <row r="16" spans="1:32" x14ac:dyDescent="0.3">
      <c r="A16">
        <v>15</v>
      </c>
      <c r="B16">
        <v>14</v>
      </c>
      <c r="C16">
        <v>1</v>
      </c>
      <c r="D16" t="s">
        <v>104</v>
      </c>
      <c r="E16">
        <v>195000</v>
      </c>
      <c r="F16">
        <v>2266.5966386554619</v>
      </c>
      <c r="G16">
        <v>12</v>
      </c>
      <c r="H16" s="2">
        <v>42152</v>
      </c>
      <c r="I16">
        <v>14</v>
      </c>
      <c r="J16" t="s">
        <v>105</v>
      </c>
      <c r="K16" t="s">
        <v>106</v>
      </c>
      <c r="L16" t="s">
        <v>95</v>
      </c>
      <c r="M16" t="s">
        <v>34</v>
      </c>
      <c r="N16" t="s">
        <v>35</v>
      </c>
      <c r="O16" t="s">
        <v>36</v>
      </c>
      <c r="P16">
        <v>2</v>
      </c>
      <c r="Q16">
        <v>156000</v>
      </c>
      <c r="R16">
        <v>6000</v>
      </c>
      <c r="S16">
        <v>1500</v>
      </c>
      <c r="T16">
        <v>1950</v>
      </c>
      <c r="U16">
        <v>195000</v>
      </c>
      <c r="V16">
        <v>165450</v>
      </c>
      <c r="W16">
        <v>0.1786038077969174</v>
      </c>
      <c r="X16">
        <v>29550</v>
      </c>
      <c r="Y16" t="s">
        <v>103</v>
      </c>
      <c r="Z16" s="2">
        <v>42158</v>
      </c>
      <c r="AA16">
        <v>1</v>
      </c>
      <c r="AB16" t="s">
        <v>38</v>
      </c>
      <c r="AC16" t="s">
        <v>39</v>
      </c>
      <c r="AD16" t="s">
        <v>40</v>
      </c>
      <c r="AE16" t="str">
        <f t="shared" si="0"/>
        <v>Thursday</v>
      </c>
      <c r="AF16" s="12">
        <f>Table1[[#This Row],[Total Cost]]+Table1[[#This Row],[PROFIT]]</f>
        <v>195000</v>
      </c>
    </row>
    <row r="17" spans="1:32" x14ac:dyDescent="0.3">
      <c r="A17">
        <v>16</v>
      </c>
      <c r="B17">
        <v>15</v>
      </c>
      <c r="C17">
        <v>1</v>
      </c>
      <c r="D17" t="s">
        <v>107</v>
      </c>
      <c r="E17">
        <v>22950</v>
      </c>
      <c r="F17">
        <v>950</v>
      </c>
      <c r="G17">
        <v>13</v>
      </c>
      <c r="H17" s="2">
        <v>42159.692361111112</v>
      </c>
      <c r="I17">
        <v>15</v>
      </c>
      <c r="J17" t="s">
        <v>108</v>
      </c>
      <c r="K17" t="s">
        <v>109</v>
      </c>
      <c r="L17" t="s">
        <v>110</v>
      </c>
      <c r="M17" t="s">
        <v>64</v>
      </c>
      <c r="N17" t="s">
        <v>65</v>
      </c>
      <c r="O17" t="s">
        <v>36</v>
      </c>
      <c r="P17">
        <v>45</v>
      </c>
      <c r="Q17">
        <v>18360</v>
      </c>
      <c r="R17">
        <v>550</v>
      </c>
      <c r="S17">
        <v>500</v>
      </c>
      <c r="T17">
        <v>150</v>
      </c>
      <c r="U17">
        <v>22950</v>
      </c>
      <c r="V17">
        <v>19560</v>
      </c>
      <c r="W17">
        <v>0.17331288343558279</v>
      </c>
      <c r="X17">
        <v>3390</v>
      </c>
      <c r="Y17" t="s">
        <v>37</v>
      </c>
      <c r="Z17" s="2">
        <v>42160</v>
      </c>
      <c r="AA17">
        <v>8</v>
      </c>
      <c r="AB17" t="s">
        <v>111</v>
      </c>
      <c r="AC17" t="s">
        <v>112</v>
      </c>
      <c r="AD17" t="s">
        <v>52</v>
      </c>
      <c r="AE17" t="str">
        <f t="shared" si="0"/>
        <v>Thursday</v>
      </c>
      <c r="AF17" s="12">
        <f>Table1[[#This Row],[Total Cost]]+Table1[[#This Row],[PROFIT]]</f>
        <v>22950</v>
      </c>
    </row>
    <row r="18" spans="1:32" x14ac:dyDescent="0.3">
      <c r="A18">
        <v>17</v>
      </c>
      <c r="B18">
        <v>16</v>
      </c>
      <c r="C18">
        <v>1</v>
      </c>
      <c r="D18" t="s">
        <v>113</v>
      </c>
      <c r="E18">
        <v>8695</v>
      </c>
      <c r="F18">
        <v>95</v>
      </c>
      <c r="G18">
        <v>14</v>
      </c>
      <c r="H18" s="2">
        <v>42197.416666666657</v>
      </c>
      <c r="I18">
        <v>16</v>
      </c>
      <c r="J18" t="s">
        <v>114</v>
      </c>
      <c r="K18" t="s">
        <v>115</v>
      </c>
      <c r="L18" t="s">
        <v>95</v>
      </c>
      <c r="M18" t="s">
        <v>34</v>
      </c>
      <c r="N18" t="s">
        <v>35</v>
      </c>
      <c r="O18" t="s">
        <v>36</v>
      </c>
      <c r="P18">
        <v>51</v>
      </c>
      <c r="Q18">
        <v>6956</v>
      </c>
      <c r="R18">
        <v>400</v>
      </c>
      <c r="S18">
        <v>750</v>
      </c>
      <c r="T18">
        <v>150</v>
      </c>
      <c r="U18">
        <v>8695</v>
      </c>
      <c r="V18">
        <v>8256</v>
      </c>
      <c r="W18">
        <v>5.3173449612403001E-2</v>
      </c>
      <c r="X18">
        <v>439</v>
      </c>
      <c r="Y18" t="s">
        <v>37</v>
      </c>
      <c r="Z18" s="2">
        <v>42195</v>
      </c>
      <c r="AA18">
        <v>9</v>
      </c>
      <c r="AB18" t="s">
        <v>116</v>
      </c>
      <c r="AC18" t="s">
        <v>117</v>
      </c>
      <c r="AD18" t="s">
        <v>40</v>
      </c>
      <c r="AE18" t="str">
        <f t="shared" si="0"/>
        <v>Sunday</v>
      </c>
      <c r="AF18" s="12">
        <f>Table1[[#This Row],[Total Cost]]+Table1[[#This Row],[PROFIT]]</f>
        <v>8695</v>
      </c>
    </row>
    <row r="19" spans="1:32" x14ac:dyDescent="0.3">
      <c r="A19">
        <v>18</v>
      </c>
      <c r="B19">
        <v>17</v>
      </c>
      <c r="C19">
        <v>1</v>
      </c>
      <c r="D19" t="s">
        <v>118</v>
      </c>
      <c r="E19">
        <v>22990</v>
      </c>
      <c r="F19">
        <v>2266.5966386554619</v>
      </c>
      <c r="G19">
        <v>15</v>
      </c>
      <c r="H19" s="2">
        <v>42200</v>
      </c>
      <c r="I19">
        <v>17</v>
      </c>
      <c r="J19" t="s">
        <v>119</v>
      </c>
      <c r="K19" t="s">
        <v>120</v>
      </c>
      <c r="L19" t="s">
        <v>95</v>
      </c>
      <c r="M19" t="s">
        <v>34</v>
      </c>
      <c r="N19" t="s">
        <v>35</v>
      </c>
      <c r="O19" t="s">
        <v>36</v>
      </c>
      <c r="P19">
        <v>75</v>
      </c>
      <c r="Q19">
        <v>18392</v>
      </c>
      <c r="R19">
        <v>390</v>
      </c>
      <c r="S19">
        <v>150</v>
      </c>
      <c r="T19">
        <v>150</v>
      </c>
      <c r="U19">
        <v>22990</v>
      </c>
      <c r="V19">
        <v>19082</v>
      </c>
      <c r="W19">
        <v>0.20480033539461259</v>
      </c>
      <c r="X19">
        <v>3908</v>
      </c>
      <c r="Y19" t="s">
        <v>68</v>
      </c>
      <c r="Z19" s="2">
        <v>42195</v>
      </c>
      <c r="AA19">
        <v>16</v>
      </c>
      <c r="AB19" t="s">
        <v>121</v>
      </c>
      <c r="AC19" t="s">
        <v>122</v>
      </c>
      <c r="AD19" t="s">
        <v>71</v>
      </c>
      <c r="AE19" t="str">
        <f t="shared" si="0"/>
        <v>Wednesday</v>
      </c>
      <c r="AF19" s="12">
        <f>Table1[[#This Row],[Total Cost]]+Table1[[#This Row],[PROFIT]]</f>
        <v>22990</v>
      </c>
    </row>
    <row r="20" spans="1:32" x14ac:dyDescent="0.3">
      <c r="A20">
        <v>19</v>
      </c>
      <c r="B20">
        <v>18</v>
      </c>
      <c r="C20">
        <v>1</v>
      </c>
      <c r="D20" t="s">
        <v>123</v>
      </c>
      <c r="E20">
        <v>19500</v>
      </c>
      <c r="F20">
        <v>1500</v>
      </c>
      <c r="G20">
        <v>16</v>
      </c>
      <c r="H20" s="2">
        <v>42210</v>
      </c>
      <c r="I20">
        <v>18</v>
      </c>
      <c r="J20" t="s">
        <v>124</v>
      </c>
      <c r="K20" t="s">
        <v>125</v>
      </c>
      <c r="L20" t="s">
        <v>110</v>
      </c>
      <c r="M20" t="s">
        <v>64</v>
      </c>
      <c r="N20" t="s">
        <v>65</v>
      </c>
      <c r="O20" t="s">
        <v>36</v>
      </c>
      <c r="P20">
        <v>76</v>
      </c>
      <c r="Q20">
        <v>15600</v>
      </c>
      <c r="R20">
        <v>290</v>
      </c>
      <c r="S20">
        <v>750</v>
      </c>
      <c r="T20">
        <v>150</v>
      </c>
      <c r="U20">
        <v>75500</v>
      </c>
      <c r="V20">
        <v>16790</v>
      </c>
      <c r="W20">
        <v>3.4967242406194159</v>
      </c>
      <c r="X20">
        <v>58710</v>
      </c>
      <c r="Y20" t="s">
        <v>126</v>
      </c>
      <c r="Z20" s="2">
        <v>42210</v>
      </c>
      <c r="AA20">
        <v>16</v>
      </c>
      <c r="AB20" t="s">
        <v>127</v>
      </c>
      <c r="AC20" t="s">
        <v>122</v>
      </c>
      <c r="AD20" t="s">
        <v>71</v>
      </c>
      <c r="AE20" t="str">
        <f t="shared" si="0"/>
        <v>Saturday</v>
      </c>
      <c r="AF20" s="12">
        <f>Table1[[#This Row],[Total Cost]]+Table1[[#This Row],[PROFIT]]</f>
        <v>75500</v>
      </c>
    </row>
    <row r="21" spans="1:32" x14ac:dyDescent="0.3">
      <c r="A21">
        <v>20</v>
      </c>
      <c r="B21">
        <v>18</v>
      </c>
      <c r="C21">
        <v>2</v>
      </c>
      <c r="D21" t="s">
        <v>128</v>
      </c>
      <c r="E21">
        <v>56000</v>
      </c>
      <c r="F21">
        <v>2266.5966386554619</v>
      </c>
      <c r="G21">
        <v>16</v>
      </c>
      <c r="H21" s="2">
        <v>42210</v>
      </c>
      <c r="I21">
        <v>18</v>
      </c>
      <c r="J21" t="s">
        <v>124</v>
      </c>
      <c r="K21" t="s">
        <v>125</v>
      </c>
      <c r="L21" t="s">
        <v>110</v>
      </c>
      <c r="M21" t="s">
        <v>64</v>
      </c>
      <c r="N21" t="s">
        <v>65</v>
      </c>
      <c r="O21" t="s">
        <v>36</v>
      </c>
      <c r="P21">
        <v>24</v>
      </c>
      <c r="Q21">
        <v>44800</v>
      </c>
      <c r="R21">
        <v>1785</v>
      </c>
      <c r="S21">
        <v>500</v>
      </c>
      <c r="T21">
        <v>550</v>
      </c>
      <c r="U21">
        <v>75500</v>
      </c>
      <c r="V21">
        <v>47635</v>
      </c>
      <c r="W21">
        <v>0.58496903537315004</v>
      </c>
      <c r="X21">
        <v>27865</v>
      </c>
      <c r="Y21" t="s">
        <v>79</v>
      </c>
      <c r="Z21" s="2">
        <v>42210</v>
      </c>
      <c r="AA21">
        <v>4</v>
      </c>
      <c r="AB21" t="s">
        <v>80</v>
      </c>
      <c r="AC21" t="s">
        <v>70</v>
      </c>
      <c r="AD21" t="s">
        <v>71</v>
      </c>
      <c r="AE21" t="str">
        <f t="shared" si="0"/>
        <v>Saturday</v>
      </c>
      <c r="AF21" s="12">
        <f>Table1[[#This Row],[Total Cost]]+Table1[[#This Row],[PROFIT]]</f>
        <v>75500</v>
      </c>
    </row>
    <row r="22" spans="1:32" x14ac:dyDescent="0.3">
      <c r="A22">
        <v>21</v>
      </c>
      <c r="B22">
        <v>19</v>
      </c>
      <c r="C22">
        <v>1</v>
      </c>
      <c r="D22" t="s">
        <v>129</v>
      </c>
      <c r="E22">
        <v>5500</v>
      </c>
      <c r="F22">
        <v>500</v>
      </c>
      <c r="G22">
        <v>17</v>
      </c>
      <c r="H22" s="2">
        <v>42218.333333333343</v>
      </c>
      <c r="I22">
        <v>19</v>
      </c>
      <c r="J22" t="s">
        <v>130</v>
      </c>
      <c r="K22" t="s">
        <v>131</v>
      </c>
      <c r="L22" t="s">
        <v>132</v>
      </c>
      <c r="M22" t="s">
        <v>89</v>
      </c>
      <c r="N22" t="s">
        <v>90</v>
      </c>
      <c r="O22" t="s">
        <v>91</v>
      </c>
      <c r="P22">
        <v>86</v>
      </c>
      <c r="Q22">
        <v>4400</v>
      </c>
      <c r="R22">
        <v>500</v>
      </c>
      <c r="S22">
        <v>750</v>
      </c>
      <c r="T22">
        <v>150</v>
      </c>
      <c r="U22">
        <v>5500</v>
      </c>
      <c r="V22">
        <v>5800</v>
      </c>
      <c r="W22">
        <v>-5.1724137931034482E-2</v>
      </c>
      <c r="X22">
        <v>-300</v>
      </c>
      <c r="Y22" t="s">
        <v>68</v>
      </c>
      <c r="Z22" s="2">
        <v>42217</v>
      </c>
      <c r="AA22">
        <v>21</v>
      </c>
      <c r="AB22" t="s">
        <v>133</v>
      </c>
      <c r="AC22" t="s">
        <v>134</v>
      </c>
      <c r="AD22" t="s">
        <v>71</v>
      </c>
      <c r="AE22" t="str">
        <f t="shared" si="0"/>
        <v>Sunday</v>
      </c>
      <c r="AF22" s="12">
        <f>Table1[[#This Row],[Total Cost]]+Table1[[#This Row],[PROFIT]]</f>
        <v>5500</v>
      </c>
    </row>
    <row r="23" spans="1:32" x14ac:dyDescent="0.3">
      <c r="A23">
        <v>22</v>
      </c>
      <c r="B23">
        <v>20</v>
      </c>
      <c r="C23">
        <v>1</v>
      </c>
      <c r="D23" t="s">
        <v>135</v>
      </c>
      <c r="E23">
        <v>12650</v>
      </c>
      <c r="F23">
        <v>2266.5966386554619</v>
      </c>
      <c r="G23">
        <v>18</v>
      </c>
      <c r="H23" s="2">
        <v>42252</v>
      </c>
      <c r="I23">
        <v>20</v>
      </c>
      <c r="J23" t="s">
        <v>136</v>
      </c>
      <c r="K23" t="s">
        <v>137</v>
      </c>
      <c r="L23" t="s">
        <v>95</v>
      </c>
      <c r="M23" t="s">
        <v>34</v>
      </c>
      <c r="N23" t="s">
        <v>35</v>
      </c>
      <c r="O23" t="s">
        <v>36</v>
      </c>
      <c r="P23">
        <v>87</v>
      </c>
      <c r="Q23">
        <v>10120</v>
      </c>
      <c r="R23">
        <v>320</v>
      </c>
      <c r="S23">
        <v>750</v>
      </c>
      <c r="T23">
        <v>150</v>
      </c>
      <c r="U23">
        <v>12650</v>
      </c>
      <c r="V23">
        <v>11340</v>
      </c>
      <c r="W23">
        <v>0.11552028218694881</v>
      </c>
      <c r="X23">
        <v>1310</v>
      </c>
      <c r="Y23" t="s">
        <v>103</v>
      </c>
      <c r="Z23" s="2">
        <v>42240</v>
      </c>
      <c r="AA23">
        <v>21</v>
      </c>
      <c r="AB23" t="s">
        <v>138</v>
      </c>
      <c r="AC23" t="s">
        <v>134</v>
      </c>
      <c r="AD23" t="s">
        <v>71</v>
      </c>
      <c r="AE23" t="str">
        <f t="shared" si="0"/>
        <v>Saturday</v>
      </c>
      <c r="AF23" s="12">
        <f>Table1[[#This Row],[Total Cost]]+Table1[[#This Row],[PROFIT]]</f>
        <v>12650</v>
      </c>
    </row>
    <row r="24" spans="1:32" x14ac:dyDescent="0.3">
      <c r="A24">
        <v>23</v>
      </c>
      <c r="B24">
        <v>21</v>
      </c>
      <c r="C24">
        <v>1</v>
      </c>
      <c r="D24" t="s">
        <v>139</v>
      </c>
      <c r="E24">
        <v>8950</v>
      </c>
      <c r="F24">
        <v>950</v>
      </c>
      <c r="G24">
        <v>19</v>
      </c>
      <c r="H24" s="2">
        <v>42262.416666666657</v>
      </c>
      <c r="I24">
        <v>21</v>
      </c>
      <c r="J24" t="s">
        <v>140</v>
      </c>
      <c r="K24" t="s">
        <v>141</v>
      </c>
      <c r="L24" t="s">
        <v>142</v>
      </c>
      <c r="M24" t="s">
        <v>34</v>
      </c>
      <c r="N24" t="s">
        <v>35</v>
      </c>
      <c r="O24" t="s">
        <v>36</v>
      </c>
      <c r="P24">
        <v>12</v>
      </c>
      <c r="Q24">
        <v>7160</v>
      </c>
      <c r="R24">
        <v>360</v>
      </c>
      <c r="S24">
        <v>750</v>
      </c>
      <c r="T24">
        <v>150</v>
      </c>
      <c r="U24">
        <v>8950</v>
      </c>
      <c r="V24">
        <v>8420</v>
      </c>
      <c r="W24">
        <v>6.2945368171021476E-2</v>
      </c>
      <c r="X24">
        <v>530</v>
      </c>
      <c r="Y24" t="s">
        <v>73</v>
      </c>
      <c r="Z24" s="2">
        <v>42275</v>
      </c>
      <c r="AA24">
        <v>2</v>
      </c>
      <c r="AB24" t="s">
        <v>59</v>
      </c>
      <c r="AC24" t="s">
        <v>51</v>
      </c>
      <c r="AD24" t="s">
        <v>52</v>
      </c>
      <c r="AE24" t="str">
        <f t="shared" si="0"/>
        <v>Tuesday</v>
      </c>
      <c r="AF24" s="12">
        <f>Table1[[#This Row],[Total Cost]]+Table1[[#This Row],[PROFIT]]</f>
        <v>8950</v>
      </c>
    </row>
    <row r="25" spans="1:32" x14ac:dyDescent="0.3">
      <c r="A25">
        <v>24</v>
      </c>
      <c r="B25">
        <v>22</v>
      </c>
      <c r="C25">
        <v>1</v>
      </c>
      <c r="D25" t="s">
        <v>143</v>
      </c>
      <c r="E25">
        <v>15600</v>
      </c>
      <c r="F25">
        <v>2266.5966386554619</v>
      </c>
      <c r="G25">
        <v>18</v>
      </c>
      <c r="H25" s="2">
        <v>42262</v>
      </c>
      <c r="I25">
        <v>22</v>
      </c>
      <c r="J25" t="s">
        <v>136</v>
      </c>
      <c r="K25" t="s">
        <v>137</v>
      </c>
      <c r="L25" t="s">
        <v>95</v>
      </c>
      <c r="M25" t="s">
        <v>34</v>
      </c>
      <c r="N25" t="s">
        <v>35</v>
      </c>
      <c r="O25" t="s">
        <v>36</v>
      </c>
      <c r="P25">
        <v>74</v>
      </c>
      <c r="Q25">
        <v>12480</v>
      </c>
      <c r="R25">
        <v>1100</v>
      </c>
      <c r="S25">
        <v>500</v>
      </c>
      <c r="T25">
        <v>150</v>
      </c>
      <c r="U25">
        <v>15600</v>
      </c>
      <c r="V25">
        <v>14230</v>
      </c>
      <c r="W25">
        <v>9.6275474349964973E-2</v>
      </c>
      <c r="X25">
        <v>1370</v>
      </c>
      <c r="Y25" t="s">
        <v>37</v>
      </c>
      <c r="Z25" s="2">
        <v>42278</v>
      </c>
      <c r="AA25">
        <v>16</v>
      </c>
      <c r="AB25" t="s">
        <v>144</v>
      </c>
      <c r="AC25" t="s">
        <v>122</v>
      </c>
      <c r="AD25" t="s">
        <v>71</v>
      </c>
      <c r="AE25" t="str">
        <f t="shared" si="0"/>
        <v>Tuesday</v>
      </c>
      <c r="AF25" s="12">
        <f>Table1[[#This Row],[Total Cost]]+Table1[[#This Row],[PROFIT]]</f>
        <v>15600</v>
      </c>
    </row>
    <row r="26" spans="1:32" x14ac:dyDescent="0.3">
      <c r="A26">
        <v>25</v>
      </c>
      <c r="B26">
        <v>23</v>
      </c>
      <c r="C26">
        <v>1</v>
      </c>
      <c r="D26" t="s">
        <v>145</v>
      </c>
      <c r="E26">
        <v>22600</v>
      </c>
      <c r="F26">
        <v>600</v>
      </c>
      <c r="G26">
        <v>15</v>
      </c>
      <c r="H26" s="2">
        <v>42307</v>
      </c>
      <c r="I26">
        <v>23</v>
      </c>
      <c r="J26" t="s">
        <v>119</v>
      </c>
      <c r="K26" t="s">
        <v>120</v>
      </c>
      <c r="L26" t="s">
        <v>95</v>
      </c>
      <c r="M26" t="s">
        <v>34</v>
      </c>
      <c r="N26" t="s">
        <v>35</v>
      </c>
      <c r="O26" t="s">
        <v>36</v>
      </c>
      <c r="P26">
        <v>76</v>
      </c>
      <c r="Q26">
        <v>18080</v>
      </c>
      <c r="R26">
        <v>660</v>
      </c>
      <c r="S26">
        <v>750</v>
      </c>
      <c r="T26">
        <v>150</v>
      </c>
      <c r="U26">
        <v>22600</v>
      </c>
      <c r="V26">
        <v>19640</v>
      </c>
      <c r="W26">
        <v>0.15071283095723009</v>
      </c>
      <c r="X26">
        <v>2960</v>
      </c>
      <c r="Y26" t="s">
        <v>37</v>
      </c>
      <c r="Z26" s="2">
        <v>42306</v>
      </c>
      <c r="AA26">
        <v>16</v>
      </c>
      <c r="AB26" t="s">
        <v>127</v>
      </c>
      <c r="AC26" t="s">
        <v>122</v>
      </c>
      <c r="AD26" t="s">
        <v>71</v>
      </c>
      <c r="AE26" t="str">
        <f t="shared" si="0"/>
        <v>Friday</v>
      </c>
      <c r="AF26" s="12">
        <f>Table1[[#This Row],[Total Cost]]+Table1[[#This Row],[PROFIT]]</f>
        <v>22600</v>
      </c>
    </row>
    <row r="27" spans="1:32" x14ac:dyDescent="0.3">
      <c r="A27">
        <v>26</v>
      </c>
      <c r="B27">
        <v>24</v>
      </c>
      <c r="C27">
        <v>1</v>
      </c>
      <c r="D27" t="s">
        <v>146</v>
      </c>
      <c r="E27">
        <v>123590</v>
      </c>
      <c r="F27">
        <v>2450</v>
      </c>
      <c r="G27">
        <v>17</v>
      </c>
      <c r="H27" s="2">
        <v>42307</v>
      </c>
      <c r="I27">
        <v>24</v>
      </c>
      <c r="J27" t="s">
        <v>130</v>
      </c>
      <c r="K27" t="s">
        <v>131</v>
      </c>
      <c r="L27" t="s">
        <v>132</v>
      </c>
      <c r="M27" t="s">
        <v>89</v>
      </c>
      <c r="N27" t="s">
        <v>90</v>
      </c>
      <c r="O27" t="s">
        <v>91</v>
      </c>
      <c r="P27">
        <v>26</v>
      </c>
      <c r="Q27">
        <v>98872</v>
      </c>
      <c r="R27">
        <v>2175</v>
      </c>
      <c r="S27">
        <v>2200</v>
      </c>
      <c r="T27">
        <v>750</v>
      </c>
      <c r="U27">
        <v>123590</v>
      </c>
      <c r="V27">
        <v>103997</v>
      </c>
      <c r="W27">
        <v>0.18839966537496269</v>
      </c>
      <c r="X27">
        <v>19593</v>
      </c>
      <c r="Y27" t="s">
        <v>73</v>
      </c>
      <c r="Z27" s="2">
        <v>42306</v>
      </c>
      <c r="AA27">
        <v>4</v>
      </c>
      <c r="AB27" t="s">
        <v>147</v>
      </c>
      <c r="AC27" t="s">
        <v>70</v>
      </c>
      <c r="AD27" t="s">
        <v>71</v>
      </c>
      <c r="AE27" t="str">
        <f t="shared" si="0"/>
        <v>Friday</v>
      </c>
      <c r="AF27" s="12">
        <f>Table1[[#This Row],[Total Cost]]+Table1[[#This Row],[PROFIT]]</f>
        <v>123590</v>
      </c>
    </row>
    <row r="28" spans="1:32" x14ac:dyDescent="0.3">
      <c r="A28">
        <v>27</v>
      </c>
      <c r="B28">
        <v>25</v>
      </c>
      <c r="C28">
        <v>1</v>
      </c>
      <c r="D28" t="s">
        <v>148</v>
      </c>
      <c r="E28">
        <v>22950</v>
      </c>
      <c r="F28">
        <v>50</v>
      </c>
      <c r="G28">
        <v>14</v>
      </c>
      <c r="H28" s="2">
        <v>42318</v>
      </c>
      <c r="I28">
        <v>25</v>
      </c>
      <c r="J28" t="s">
        <v>114</v>
      </c>
      <c r="K28" t="s">
        <v>115</v>
      </c>
      <c r="L28" t="s">
        <v>95</v>
      </c>
      <c r="M28" t="s">
        <v>34</v>
      </c>
      <c r="N28" t="s">
        <v>35</v>
      </c>
      <c r="O28" t="s">
        <v>36</v>
      </c>
      <c r="P28">
        <v>11</v>
      </c>
      <c r="Q28">
        <v>18360</v>
      </c>
      <c r="R28">
        <v>500</v>
      </c>
      <c r="S28">
        <v>750</v>
      </c>
      <c r="T28">
        <v>150</v>
      </c>
      <c r="U28">
        <v>22950</v>
      </c>
      <c r="V28">
        <v>19760</v>
      </c>
      <c r="W28">
        <v>0.16143724696356279</v>
      </c>
      <c r="X28">
        <v>3190</v>
      </c>
      <c r="Y28" t="s">
        <v>73</v>
      </c>
      <c r="Z28" s="2">
        <v>42309</v>
      </c>
      <c r="AA28">
        <v>2</v>
      </c>
      <c r="AB28" t="s">
        <v>50</v>
      </c>
      <c r="AC28" t="s">
        <v>51</v>
      </c>
      <c r="AD28" t="s">
        <v>52</v>
      </c>
      <c r="AE28" t="str">
        <f t="shared" si="0"/>
        <v>Tuesday</v>
      </c>
      <c r="AF28" s="12">
        <f>Table1[[#This Row],[Total Cost]]+Table1[[#This Row],[PROFIT]]</f>
        <v>22950</v>
      </c>
    </row>
    <row r="29" spans="1:32" x14ac:dyDescent="0.3">
      <c r="A29">
        <v>28</v>
      </c>
      <c r="B29">
        <v>26</v>
      </c>
      <c r="C29">
        <v>1</v>
      </c>
      <c r="D29" t="s">
        <v>149</v>
      </c>
      <c r="E29">
        <v>69500</v>
      </c>
      <c r="F29">
        <v>2266.5966386554619</v>
      </c>
      <c r="G29">
        <v>15</v>
      </c>
      <c r="H29" s="2">
        <v>42339.333333333343</v>
      </c>
      <c r="I29">
        <v>26</v>
      </c>
      <c r="J29" t="s">
        <v>119</v>
      </c>
      <c r="K29" t="s">
        <v>120</v>
      </c>
      <c r="L29" t="s">
        <v>95</v>
      </c>
      <c r="M29" t="s">
        <v>34</v>
      </c>
      <c r="N29" t="s">
        <v>35</v>
      </c>
      <c r="O29" t="s">
        <v>36</v>
      </c>
      <c r="P29">
        <v>24</v>
      </c>
      <c r="Q29">
        <v>55600</v>
      </c>
      <c r="R29">
        <v>1490</v>
      </c>
      <c r="S29">
        <v>1500</v>
      </c>
      <c r="T29">
        <v>750</v>
      </c>
      <c r="U29">
        <v>69500</v>
      </c>
      <c r="V29">
        <v>59340</v>
      </c>
      <c r="W29">
        <v>0.17121671722278389</v>
      </c>
      <c r="X29">
        <v>10160</v>
      </c>
      <c r="Y29" t="s">
        <v>126</v>
      </c>
      <c r="Z29" s="2">
        <v>42319</v>
      </c>
      <c r="AA29">
        <v>4</v>
      </c>
      <c r="AB29" t="s">
        <v>80</v>
      </c>
      <c r="AC29" t="s">
        <v>70</v>
      </c>
      <c r="AD29" t="s">
        <v>71</v>
      </c>
      <c r="AE29" t="str">
        <f t="shared" si="0"/>
        <v>Tuesday</v>
      </c>
      <c r="AF29" s="12">
        <f>Table1[[#This Row],[Total Cost]]+Table1[[#This Row],[PROFIT]]</f>
        <v>69500</v>
      </c>
    </row>
    <row r="30" spans="1:32" x14ac:dyDescent="0.3">
      <c r="A30">
        <v>29</v>
      </c>
      <c r="B30">
        <v>27</v>
      </c>
      <c r="C30">
        <v>1</v>
      </c>
      <c r="D30" t="s">
        <v>150</v>
      </c>
      <c r="E30">
        <v>12500</v>
      </c>
      <c r="F30">
        <v>2266.5966386554619</v>
      </c>
      <c r="G30">
        <v>6</v>
      </c>
      <c r="H30" s="2">
        <v>42370</v>
      </c>
      <c r="I30">
        <v>27</v>
      </c>
      <c r="J30" t="s">
        <v>151</v>
      </c>
      <c r="K30" t="s">
        <v>152</v>
      </c>
      <c r="L30" t="s">
        <v>153</v>
      </c>
      <c r="M30" t="s">
        <v>154</v>
      </c>
      <c r="N30" t="s">
        <v>155</v>
      </c>
      <c r="O30" t="s">
        <v>36</v>
      </c>
      <c r="P30">
        <v>86</v>
      </c>
      <c r="Q30">
        <v>10000</v>
      </c>
      <c r="R30">
        <v>500</v>
      </c>
      <c r="S30">
        <v>225</v>
      </c>
      <c r="T30">
        <v>150</v>
      </c>
      <c r="U30">
        <v>12500</v>
      </c>
      <c r="V30">
        <v>10875</v>
      </c>
      <c r="W30">
        <v>0.1494252873563218</v>
      </c>
      <c r="X30">
        <v>1625</v>
      </c>
      <c r="Y30" t="s">
        <v>126</v>
      </c>
      <c r="Z30" s="2">
        <v>42360</v>
      </c>
      <c r="AA30">
        <v>21</v>
      </c>
      <c r="AB30" t="s">
        <v>133</v>
      </c>
      <c r="AC30" t="s">
        <v>134</v>
      </c>
      <c r="AD30" t="s">
        <v>71</v>
      </c>
      <c r="AE30" t="str">
        <f t="shared" si="0"/>
        <v>Friday</v>
      </c>
      <c r="AF30" s="12">
        <f>Table1[[#This Row],[Total Cost]]+Table1[[#This Row],[PROFIT]]</f>
        <v>12500</v>
      </c>
    </row>
    <row r="31" spans="1:32" x14ac:dyDescent="0.3">
      <c r="A31">
        <v>30</v>
      </c>
      <c r="B31">
        <v>28</v>
      </c>
      <c r="C31">
        <v>1</v>
      </c>
      <c r="D31" t="s">
        <v>156</v>
      </c>
      <c r="E31">
        <v>12500</v>
      </c>
      <c r="F31">
        <v>1500</v>
      </c>
      <c r="G31">
        <v>7</v>
      </c>
      <c r="H31" s="2">
        <v>42370</v>
      </c>
      <c r="I31">
        <v>28</v>
      </c>
      <c r="J31" t="s">
        <v>76</v>
      </c>
      <c r="K31" t="s">
        <v>77</v>
      </c>
      <c r="L31" t="s">
        <v>78</v>
      </c>
      <c r="M31" t="s">
        <v>34</v>
      </c>
      <c r="N31" t="s">
        <v>35</v>
      </c>
      <c r="O31" t="s">
        <v>36</v>
      </c>
      <c r="P31">
        <v>13</v>
      </c>
      <c r="Q31">
        <v>10000</v>
      </c>
      <c r="R31">
        <v>500</v>
      </c>
      <c r="S31">
        <v>750</v>
      </c>
      <c r="T31">
        <v>150</v>
      </c>
      <c r="U31">
        <v>12500</v>
      </c>
      <c r="V31">
        <v>11400</v>
      </c>
      <c r="W31">
        <v>9.6491228070175517E-2</v>
      </c>
      <c r="X31">
        <v>1100</v>
      </c>
      <c r="Y31" t="s">
        <v>73</v>
      </c>
      <c r="Z31" s="2">
        <v>42361</v>
      </c>
      <c r="AA31">
        <v>2</v>
      </c>
      <c r="AB31" t="s">
        <v>66</v>
      </c>
      <c r="AC31" t="s">
        <v>51</v>
      </c>
      <c r="AD31" t="s">
        <v>52</v>
      </c>
      <c r="AE31" t="str">
        <f t="shared" si="0"/>
        <v>Friday</v>
      </c>
      <c r="AF31" s="12">
        <f>Table1[[#This Row],[Total Cost]]+Table1[[#This Row],[PROFIT]]</f>
        <v>12500</v>
      </c>
    </row>
    <row r="32" spans="1:32" x14ac:dyDescent="0.3">
      <c r="A32">
        <v>31</v>
      </c>
      <c r="B32">
        <v>29</v>
      </c>
      <c r="C32">
        <v>1</v>
      </c>
      <c r="D32" t="s">
        <v>157</v>
      </c>
      <c r="E32">
        <v>159500</v>
      </c>
      <c r="F32">
        <v>2266.5966386554619</v>
      </c>
      <c r="G32">
        <v>9</v>
      </c>
      <c r="H32" s="2">
        <v>42370</v>
      </c>
      <c r="I32">
        <v>29</v>
      </c>
      <c r="J32" t="s">
        <v>86</v>
      </c>
      <c r="K32" t="s">
        <v>87</v>
      </c>
      <c r="L32" t="s">
        <v>88</v>
      </c>
      <c r="M32" t="s">
        <v>89</v>
      </c>
      <c r="N32" t="s">
        <v>90</v>
      </c>
      <c r="O32" t="s">
        <v>91</v>
      </c>
      <c r="P32">
        <v>3</v>
      </c>
      <c r="Q32">
        <v>127600</v>
      </c>
      <c r="R32">
        <v>2000</v>
      </c>
      <c r="S32">
        <v>3150</v>
      </c>
      <c r="T32">
        <v>1950</v>
      </c>
      <c r="U32">
        <v>159500</v>
      </c>
      <c r="V32">
        <v>134700</v>
      </c>
      <c r="W32">
        <v>0.18411284335560499</v>
      </c>
      <c r="X32">
        <v>24800</v>
      </c>
      <c r="Y32" t="s">
        <v>126</v>
      </c>
      <c r="Z32" s="2">
        <v>42362</v>
      </c>
      <c r="AA32">
        <v>1</v>
      </c>
      <c r="AB32" t="s">
        <v>45</v>
      </c>
      <c r="AC32" t="s">
        <v>39</v>
      </c>
      <c r="AD32" t="s">
        <v>40</v>
      </c>
      <c r="AE32" t="str">
        <f t="shared" si="0"/>
        <v>Friday</v>
      </c>
      <c r="AF32" s="12">
        <f>Table1[[#This Row],[Total Cost]]+Table1[[#This Row],[PROFIT]]</f>
        <v>159500</v>
      </c>
    </row>
    <row r="33" spans="1:32" x14ac:dyDescent="0.3">
      <c r="A33">
        <v>32</v>
      </c>
      <c r="B33">
        <v>30</v>
      </c>
      <c r="C33">
        <v>1</v>
      </c>
      <c r="D33" t="s">
        <v>158</v>
      </c>
      <c r="E33">
        <v>165000</v>
      </c>
      <c r="F33">
        <v>5000</v>
      </c>
      <c r="G33">
        <v>10</v>
      </c>
      <c r="H33" s="2">
        <v>42370.333333333343</v>
      </c>
      <c r="I33">
        <v>30</v>
      </c>
      <c r="J33" t="s">
        <v>93</v>
      </c>
      <c r="K33" t="s">
        <v>94</v>
      </c>
      <c r="L33" t="s">
        <v>95</v>
      </c>
      <c r="M33" t="s">
        <v>34</v>
      </c>
      <c r="N33" t="s">
        <v>35</v>
      </c>
      <c r="O33" t="s">
        <v>36</v>
      </c>
      <c r="P33">
        <v>2</v>
      </c>
      <c r="Q33">
        <v>132000</v>
      </c>
      <c r="R33">
        <v>3950</v>
      </c>
      <c r="S33">
        <v>2200</v>
      </c>
      <c r="T33">
        <v>1950</v>
      </c>
      <c r="U33">
        <v>165000</v>
      </c>
      <c r="V33">
        <v>140100</v>
      </c>
      <c r="W33">
        <v>0.17773019271948609</v>
      </c>
      <c r="X33">
        <v>24900</v>
      </c>
      <c r="Y33" t="s">
        <v>68</v>
      </c>
      <c r="Z33" s="2">
        <v>42363</v>
      </c>
      <c r="AA33">
        <v>1</v>
      </c>
      <c r="AB33" t="s">
        <v>38</v>
      </c>
      <c r="AC33" t="s">
        <v>39</v>
      </c>
      <c r="AD33" t="s">
        <v>40</v>
      </c>
      <c r="AE33" t="str">
        <f t="shared" si="0"/>
        <v>Friday</v>
      </c>
      <c r="AF33" s="12">
        <f>Table1[[#This Row],[Total Cost]]+Table1[[#This Row],[PROFIT]]</f>
        <v>165000</v>
      </c>
    </row>
    <row r="34" spans="1:32" x14ac:dyDescent="0.3">
      <c r="A34">
        <v>33</v>
      </c>
      <c r="B34">
        <v>31</v>
      </c>
      <c r="C34">
        <v>1</v>
      </c>
      <c r="D34" t="s">
        <v>159</v>
      </c>
      <c r="E34">
        <v>2550</v>
      </c>
      <c r="F34">
        <v>50</v>
      </c>
      <c r="G34">
        <v>8</v>
      </c>
      <c r="H34" s="2">
        <v>42376</v>
      </c>
      <c r="I34">
        <v>31</v>
      </c>
      <c r="J34" t="s">
        <v>82</v>
      </c>
      <c r="K34" t="s">
        <v>83</v>
      </c>
      <c r="L34" t="s">
        <v>84</v>
      </c>
      <c r="M34" t="s">
        <v>64</v>
      </c>
      <c r="N34" t="s">
        <v>65</v>
      </c>
      <c r="O34" t="s">
        <v>36</v>
      </c>
      <c r="P34">
        <v>51</v>
      </c>
      <c r="Q34">
        <v>2040</v>
      </c>
      <c r="R34">
        <v>500</v>
      </c>
      <c r="S34">
        <v>750</v>
      </c>
      <c r="T34">
        <v>150</v>
      </c>
      <c r="U34">
        <v>2550</v>
      </c>
      <c r="V34">
        <v>3440</v>
      </c>
      <c r="W34">
        <v>-0.25872093023255821</v>
      </c>
      <c r="X34">
        <v>-890</v>
      </c>
      <c r="Y34" t="s">
        <v>49</v>
      </c>
      <c r="Z34" s="2">
        <v>42371</v>
      </c>
      <c r="AA34">
        <v>9</v>
      </c>
      <c r="AB34" t="s">
        <v>116</v>
      </c>
      <c r="AC34" t="s">
        <v>117</v>
      </c>
      <c r="AD34" t="s">
        <v>40</v>
      </c>
      <c r="AE34" t="str">
        <f t="shared" si="0"/>
        <v>Thursday</v>
      </c>
      <c r="AF34" s="12">
        <f>Table1[[#This Row],[Total Cost]]+Table1[[#This Row],[PROFIT]]</f>
        <v>2550</v>
      </c>
    </row>
    <row r="35" spans="1:32" x14ac:dyDescent="0.3">
      <c r="A35">
        <v>34</v>
      </c>
      <c r="B35">
        <v>32</v>
      </c>
      <c r="C35">
        <v>1</v>
      </c>
      <c r="D35" t="s">
        <v>160</v>
      </c>
      <c r="E35">
        <v>29500</v>
      </c>
      <c r="F35">
        <v>2266.5966386554619</v>
      </c>
      <c r="G35">
        <v>19</v>
      </c>
      <c r="H35" s="2">
        <v>42376</v>
      </c>
      <c r="I35">
        <v>32</v>
      </c>
      <c r="J35" t="s">
        <v>140</v>
      </c>
      <c r="K35" t="s">
        <v>141</v>
      </c>
      <c r="L35" t="s">
        <v>142</v>
      </c>
      <c r="M35" t="s">
        <v>34</v>
      </c>
      <c r="N35" t="s">
        <v>35</v>
      </c>
      <c r="O35" t="s">
        <v>36</v>
      </c>
      <c r="P35">
        <v>11</v>
      </c>
      <c r="Q35">
        <v>23600</v>
      </c>
      <c r="R35">
        <v>1360</v>
      </c>
      <c r="S35">
        <v>500</v>
      </c>
      <c r="T35">
        <v>150</v>
      </c>
      <c r="U35">
        <v>29500</v>
      </c>
      <c r="V35">
        <v>25610</v>
      </c>
      <c r="W35">
        <v>0.1518937914877001</v>
      </c>
      <c r="X35">
        <v>3890</v>
      </c>
      <c r="Y35" t="s">
        <v>73</v>
      </c>
      <c r="Z35" s="2">
        <v>42371</v>
      </c>
      <c r="AA35">
        <v>2</v>
      </c>
      <c r="AB35" t="s">
        <v>50</v>
      </c>
      <c r="AC35" t="s">
        <v>51</v>
      </c>
      <c r="AD35" t="s">
        <v>52</v>
      </c>
      <c r="AE35" t="str">
        <f t="shared" si="0"/>
        <v>Thursday</v>
      </c>
      <c r="AF35" s="12">
        <f>Table1[[#This Row],[Total Cost]]+Table1[[#This Row],[PROFIT]]</f>
        <v>29500</v>
      </c>
    </row>
    <row r="36" spans="1:32" x14ac:dyDescent="0.3">
      <c r="A36">
        <v>35</v>
      </c>
      <c r="B36">
        <v>33</v>
      </c>
      <c r="C36">
        <v>1</v>
      </c>
      <c r="D36" t="s">
        <v>161</v>
      </c>
      <c r="E36">
        <v>12650</v>
      </c>
      <c r="F36">
        <v>500</v>
      </c>
      <c r="G36">
        <v>20</v>
      </c>
      <c r="H36" s="2">
        <v>42378</v>
      </c>
      <c r="I36">
        <v>33</v>
      </c>
      <c r="J36" t="s">
        <v>162</v>
      </c>
      <c r="K36" t="s">
        <v>163</v>
      </c>
      <c r="L36" t="s">
        <v>164</v>
      </c>
      <c r="M36" t="s">
        <v>89</v>
      </c>
      <c r="N36" t="s">
        <v>90</v>
      </c>
      <c r="O36" t="s">
        <v>91</v>
      </c>
      <c r="P36">
        <v>13</v>
      </c>
      <c r="Q36">
        <v>10120</v>
      </c>
      <c r="R36">
        <v>500</v>
      </c>
      <c r="S36">
        <v>750</v>
      </c>
      <c r="T36">
        <v>150</v>
      </c>
      <c r="U36">
        <v>12650</v>
      </c>
      <c r="V36">
        <v>11520</v>
      </c>
      <c r="W36">
        <v>9.8090277777777679E-2</v>
      </c>
      <c r="X36">
        <v>1130</v>
      </c>
      <c r="Y36" t="s">
        <v>68</v>
      </c>
      <c r="Z36" s="2">
        <v>42371</v>
      </c>
      <c r="AA36">
        <v>2</v>
      </c>
      <c r="AB36" t="s">
        <v>66</v>
      </c>
      <c r="AC36" t="s">
        <v>51</v>
      </c>
      <c r="AD36" t="s">
        <v>52</v>
      </c>
      <c r="AE36" t="str">
        <f t="shared" si="0"/>
        <v>Saturday</v>
      </c>
      <c r="AF36" s="12">
        <f>Table1[[#This Row],[Total Cost]]+Table1[[#This Row],[PROFIT]]</f>
        <v>12650</v>
      </c>
    </row>
    <row r="37" spans="1:32" x14ac:dyDescent="0.3">
      <c r="A37">
        <v>36</v>
      </c>
      <c r="B37">
        <v>34</v>
      </c>
      <c r="C37">
        <v>1</v>
      </c>
      <c r="D37" t="s">
        <v>165</v>
      </c>
      <c r="E37">
        <v>56950</v>
      </c>
      <c r="F37">
        <v>2266.5966386554619</v>
      </c>
      <c r="G37">
        <v>21</v>
      </c>
      <c r="H37" s="2">
        <v>42391</v>
      </c>
      <c r="I37">
        <v>34</v>
      </c>
      <c r="J37" t="s">
        <v>166</v>
      </c>
      <c r="K37" t="s">
        <v>167</v>
      </c>
      <c r="L37" t="s">
        <v>142</v>
      </c>
      <c r="M37" t="s">
        <v>34</v>
      </c>
      <c r="N37" t="s">
        <v>35</v>
      </c>
      <c r="O37" t="s">
        <v>36</v>
      </c>
      <c r="P37">
        <v>31</v>
      </c>
      <c r="Q37">
        <v>45560</v>
      </c>
      <c r="R37">
        <v>2000</v>
      </c>
      <c r="S37">
        <v>750</v>
      </c>
      <c r="T37">
        <v>550</v>
      </c>
      <c r="U37">
        <v>56950</v>
      </c>
      <c r="V37">
        <v>48860</v>
      </c>
      <c r="W37">
        <v>0.16557511256651661</v>
      </c>
      <c r="X37">
        <v>8090</v>
      </c>
      <c r="Y37" t="s">
        <v>168</v>
      </c>
      <c r="Z37" s="2">
        <v>42379</v>
      </c>
      <c r="AA37">
        <v>5</v>
      </c>
      <c r="AB37" t="s">
        <v>169</v>
      </c>
      <c r="AC37" t="s">
        <v>98</v>
      </c>
      <c r="AD37" t="s">
        <v>71</v>
      </c>
      <c r="AE37" t="str">
        <f t="shared" si="0"/>
        <v>Friday</v>
      </c>
      <c r="AF37" s="12">
        <f>Table1[[#This Row],[Total Cost]]+Table1[[#This Row],[PROFIT]]</f>
        <v>56950</v>
      </c>
    </row>
    <row r="38" spans="1:32" x14ac:dyDescent="0.3">
      <c r="A38">
        <v>37</v>
      </c>
      <c r="B38">
        <v>35</v>
      </c>
      <c r="C38">
        <v>1</v>
      </c>
      <c r="D38" t="s">
        <v>170</v>
      </c>
      <c r="E38">
        <v>56000</v>
      </c>
      <c r="F38">
        <v>2266.5966386554619</v>
      </c>
      <c r="G38">
        <v>22</v>
      </c>
      <c r="H38" s="2">
        <v>42422</v>
      </c>
      <c r="I38">
        <v>35</v>
      </c>
      <c r="J38" t="s">
        <v>171</v>
      </c>
      <c r="K38" t="s">
        <v>172</v>
      </c>
      <c r="L38" t="s">
        <v>142</v>
      </c>
      <c r="M38" t="s">
        <v>34</v>
      </c>
      <c r="N38" t="s">
        <v>35</v>
      </c>
      <c r="O38" t="s">
        <v>36</v>
      </c>
      <c r="P38">
        <v>24</v>
      </c>
      <c r="Q38">
        <v>44800</v>
      </c>
      <c r="R38">
        <v>1360</v>
      </c>
      <c r="S38">
        <v>500</v>
      </c>
      <c r="T38">
        <v>550</v>
      </c>
      <c r="U38">
        <v>56000</v>
      </c>
      <c r="V38">
        <v>47210</v>
      </c>
      <c r="W38">
        <v>0.18618936665960589</v>
      </c>
      <c r="X38">
        <v>8790</v>
      </c>
      <c r="Y38" t="s">
        <v>49</v>
      </c>
      <c r="Z38" s="2">
        <v>42400</v>
      </c>
      <c r="AA38">
        <v>4</v>
      </c>
      <c r="AB38" t="s">
        <v>80</v>
      </c>
      <c r="AC38" t="s">
        <v>70</v>
      </c>
      <c r="AD38" t="s">
        <v>71</v>
      </c>
      <c r="AE38" t="str">
        <f t="shared" si="0"/>
        <v>Monday</v>
      </c>
      <c r="AF38" s="12">
        <f>Table1[[#This Row],[Total Cost]]+Table1[[#This Row],[PROFIT]]</f>
        <v>56000</v>
      </c>
    </row>
    <row r="39" spans="1:32" x14ac:dyDescent="0.3">
      <c r="A39">
        <v>38</v>
      </c>
      <c r="B39">
        <v>36</v>
      </c>
      <c r="C39">
        <v>1</v>
      </c>
      <c r="D39" t="s">
        <v>173</v>
      </c>
      <c r="E39">
        <v>65890</v>
      </c>
      <c r="F39">
        <v>750</v>
      </c>
      <c r="G39">
        <v>23</v>
      </c>
      <c r="H39" s="2">
        <v>42417</v>
      </c>
      <c r="I39">
        <v>36</v>
      </c>
      <c r="J39" t="s">
        <v>174</v>
      </c>
      <c r="K39" t="s">
        <v>175</v>
      </c>
      <c r="L39" t="s">
        <v>176</v>
      </c>
      <c r="M39" t="s">
        <v>57</v>
      </c>
      <c r="N39" t="s">
        <v>58</v>
      </c>
      <c r="O39" t="s">
        <v>36</v>
      </c>
      <c r="P39">
        <v>32</v>
      </c>
      <c r="Q39">
        <v>52712</v>
      </c>
      <c r="R39">
        <v>1490</v>
      </c>
      <c r="S39">
        <v>1500</v>
      </c>
      <c r="T39">
        <v>750</v>
      </c>
      <c r="U39">
        <v>71890</v>
      </c>
      <c r="V39">
        <v>56452</v>
      </c>
      <c r="W39">
        <v>0.27347126762559348</v>
      </c>
      <c r="X39">
        <v>15438</v>
      </c>
      <c r="Y39" t="s">
        <v>79</v>
      </c>
      <c r="Z39" s="2">
        <v>42401</v>
      </c>
      <c r="AA39">
        <v>5</v>
      </c>
      <c r="AB39" t="s">
        <v>97</v>
      </c>
      <c r="AC39" t="s">
        <v>98</v>
      </c>
      <c r="AD39" t="s">
        <v>71</v>
      </c>
      <c r="AE39" t="str">
        <f t="shared" si="0"/>
        <v>Wednesday</v>
      </c>
      <c r="AF39" s="12">
        <f>Table1[[#This Row],[Total Cost]]+Table1[[#This Row],[PROFIT]]</f>
        <v>71890</v>
      </c>
    </row>
    <row r="40" spans="1:32" x14ac:dyDescent="0.3">
      <c r="A40">
        <v>39</v>
      </c>
      <c r="B40">
        <v>36</v>
      </c>
      <c r="C40">
        <v>2</v>
      </c>
      <c r="D40" t="s">
        <v>177</v>
      </c>
      <c r="E40">
        <v>6000</v>
      </c>
      <c r="F40">
        <v>2266.5966386554619</v>
      </c>
      <c r="G40">
        <v>23</v>
      </c>
      <c r="H40" s="2">
        <v>42417</v>
      </c>
      <c r="I40">
        <v>36</v>
      </c>
      <c r="J40" t="s">
        <v>174</v>
      </c>
      <c r="K40" t="s">
        <v>175</v>
      </c>
      <c r="L40" t="s">
        <v>176</v>
      </c>
      <c r="M40" t="s">
        <v>57</v>
      </c>
      <c r="N40" t="s">
        <v>58</v>
      </c>
      <c r="O40" t="s">
        <v>36</v>
      </c>
      <c r="P40">
        <v>51</v>
      </c>
      <c r="Q40">
        <v>4800</v>
      </c>
      <c r="R40">
        <v>500</v>
      </c>
      <c r="S40">
        <v>750</v>
      </c>
      <c r="T40">
        <v>150</v>
      </c>
      <c r="U40">
        <v>71890</v>
      </c>
      <c r="V40">
        <v>6200</v>
      </c>
      <c r="W40">
        <v>10.595161290322579</v>
      </c>
      <c r="X40">
        <v>65690</v>
      </c>
      <c r="Y40" t="s">
        <v>49</v>
      </c>
      <c r="Z40" s="2">
        <v>42410</v>
      </c>
      <c r="AA40">
        <v>9</v>
      </c>
      <c r="AB40" t="s">
        <v>116</v>
      </c>
      <c r="AC40" t="s">
        <v>117</v>
      </c>
      <c r="AD40" t="s">
        <v>40</v>
      </c>
      <c r="AE40" t="str">
        <f t="shared" si="0"/>
        <v>Wednesday</v>
      </c>
      <c r="AF40" s="12">
        <f>Table1[[#This Row],[Total Cost]]+Table1[[#This Row],[PROFIT]]</f>
        <v>71890</v>
      </c>
    </row>
    <row r="41" spans="1:32" x14ac:dyDescent="0.3">
      <c r="A41">
        <v>40</v>
      </c>
      <c r="B41">
        <v>37</v>
      </c>
      <c r="C41">
        <v>1</v>
      </c>
      <c r="D41" t="s">
        <v>178</v>
      </c>
      <c r="E41">
        <v>39500</v>
      </c>
      <c r="F41">
        <v>2450</v>
      </c>
      <c r="G41">
        <v>16</v>
      </c>
      <c r="H41" s="2">
        <v>42416</v>
      </c>
      <c r="I41">
        <v>37</v>
      </c>
      <c r="J41" t="s">
        <v>124</v>
      </c>
      <c r="K41" t="s">
        <v>125</v>
      </c>
      <c r="L41" t="s">
        <v>110</v>
      </c>
      <c r="M41" t="s">
        <v>64</v>
      </c>
      <c r="N41" t="s">
        <v>65</v>
      </c>
      <c r="O41" t="s">
        <v>36</v>
      </c>
      <c r="P41">
        <v>12</v>
      </c>
      <c r="Q41">
        <v>31600</v>
      </c>
      <c r="R41">
        <v>500</v>
      </c>
      <c r="S41">
        <v>1500</v>
      </c>
      <c r="T41">
        <v>550</v>
      </c>
      <c r="U41">
        <v>39500</v>
      </c>
      <c r="V41">
        <v>34150</v>
      </c>
      <c r="W41">
        <v>0.15666178623718879</v>
      </c>
      <c r="X41">
        <v>5350</v>
      </c>
      <c r="Y41" t="s">
        <v>103</v>
      </c>
      <c r="Z41" s="2">
        <v>42444</v>
      </c>
      <c r="AA41">
        <v>2</v>
      </c>
      <c r="AB41" t="s">
        <v>59</v>
      </c>
      <c r="AC41" t="s">
        <v>51</v>
      </c>
      <c r="AD41" t="s">
        <v>52</v>
      </c>
      <c r="AE41" t="str">
        <f t="shared" si="0"/>
        <v>Tuesday</v>
      </c>
      <c r="AF41" s="12">
        <f>Table1[[#This Row],[Total Cost]]+Table1[[#This Row],[PROFIT]]</f>
        <v>39500</v>
      </c>
    </row>
    <row r="42" spans="1:32" x14ac:dyDescent="0.3">
      <c r="A42">
        <v>41</v>
      </c>
      <c r="B42">
        <v>38</v>
      </c>
      <c r="C42">
        <v>1</v>
      </c>
      <c r="D42" t="s">
        <v>179</v>
      </c>
      <c r="E42">
        <v>3650</v>
      </c>
      <c r="F42">
        <v>2266.5966386554619</v>
      </c>
      <c r="G42">
        <v>1</v>
      </c>
      <c r="H42" s="2">
        <v>42428.423611111109</v>
      </c>
      <c r="I42">
        <v>38</v>
      </c>
      <c r="J42" t="s">
        <v>31</v>
      </c>
      <c r="K42" t="s">
        <v>32</v>
      </c>
      <c r="L42" t="s">
        <v>33</v>
      </c>
      <c r="M42" t="s">
        <v>34</v>
      </c>
      <c r="N42" t="s">
        <v>35</v>
      </c>
      <c r="O42" t="s">
        <v>36</v>
      </c>
      <c r="P42">
        <v>17</v>
      </c>
      <c r="Q42">
        <v>2920</v>
      </c>
      <c r="R42">
        <v>500</v>
      </c>
      <c r="S42">
        <v>750</v>
      </c>
      <c r="T42">
        <v>150</v>
      </c>
      <c r="U42">
        <v>3650</v>
      </c>
      <c r="V42">
        <v>4320</v>
      </c>
      <c r="W42">
        <v>-0.15509259259259259</v>
      </c>
      <c r="X42">
        <v>-670</v>
      </c>
      <c r="Y42" t="s">
        <v>103</v>
      </c>
      <c r="Z42" s="2">
        <v>42448</v>
      </c>
      <c r="AA42">
        <v>3</v>
      </c>
      <c r="AB42" t="s">
        <v>180</v>
      </c>
      <c r="AC42" t="s">
        <v>181</v>
      </c>
      <c r="AD42" t="s">
        <v>40</v>
      </c>
      <c r="AE42" t="str">
        <f t="shared" si="0"/>
        <v>Sunday</v>
      </c>
      <c r="AF42" s="12">
        <f>Table1[[#This Row],[Total Cost]]+Table1[[#This Row],[PROFIT]]</f>
        <v>3650</v>
      </c>
    </row>
    <row r="43" spans="1:32" x14ac:dyDescent="0.3">
      <c r="A43">
        <v>42</v>
      </c>
      <c r="B43">
        <v>39</v>
      </c>
      <c r="C43">
        <v>1</v>
      </c>
      <c r="D43" t="s">
        <v>182</v>
      </c>
      <c r="E43">
        <v>220500</v>
      </c>
      <c r="F43">
        <v>2266.5966386554619</v>
      </c>
      <c r="G43">
        <v>24</v>
      </c>
      <c r="H43" s="2">
        <v>42449</v>
      </c>
      <c r="I43">
        <v>39</v>
      </c>
      <c r="J43" t="s">
        <v>183</v>
      </c>
      <c r="K43" t="s">
        <v>184</v>
      </c>
      <c r="L43" t="s">
        <v>185</v>
      </c>
      <c r="M43" t="s">
        <v>154</v>
      </c>
      <c r="N43" t="s">
        <v>155</v>
      </c>
      <c r="O43" t="s">
        <v>36</v>
      </c>
      <c r="P43">
        <v>18</v>
      </c>
      <c r="Q43">
        <v>176400</v>
      </c>
      <c r="R43">
        <v>5500</v>
      </c>
      <c r="S43">
        <v>3150</v>
      </c>
      <c r="T43">
        <v>1950</v>
      </c>
      <c r="U43">
        <v>220500</v>
      </c>
      <c r="V43">
        <v>187000</v>
      </c>
      <c r="W43">
        <v>0.17914438502673799</v>
      </c>
      <c r="X43">
        <v>33500</v>
      </c>
      <c r="Y43" t="s">
        <v>44</v>
      </c>
      <c r="Z43" s="2">
        <v>42477</v>
      </c>
      <c r="AA43">
        <v>3</v>
      </c>
      <c r="AB43" t="s">
        <v>186</v>
      </c>
      <c r="AC43" t="s">
        <v>181</v>
      </c>
      <c r="AD43" t="s">
        <v>40</v>
      </c>
      <c r="AE43" t="str">
        <f t="shared" si="0"/>
        <v>Sunday</v>
      </c>
      <c r="AF43" s="12">
        <f>Table1[[#This Row],[Total Cost]]+Table1[[#This Row],[PROFIT]]</f>
        <v>220500</v>
      </c>
    </row>
    <row r="44" spans="1:32" x14ac:dyDescent="0.3">
      <c r="A44">
        <v>43</v>
      </c>
      <c r="B44">
        <v>40</v>
      </c>
      <c r="C44">
        <v>1</v>
      </c>
      <c r="D44" t="s">
        <v>187</v>
      </c>
      <c r="E44">
        <v>102950</v>
      </c>
      <c r="F44">
        <v>2450</v>
      </c>
      <c r="G44">
        <v>25</v>
      </c>
      <c r="H44" s="2">
        <v>42465</v>
      </c>
      <c r="I44">
        <v>40</v>
      </c>
      <c r="J44" t="s">
        <v>188</v>
      </c>
      <c r="K44" t="s">
        <v>189</v>
      </c>
      <c r="L44" t="s">
        <v>190</v>
      </c>
      <c r="M44" t="s">
        <v>34</v>
      </c>
      <c r="N44" t="s">
        <v>35</v>
      </c>
      <c r="O44" t="s">
        <v>36</v>
      </c>
      <c r="P44">
        <v>6</v>
      </c>
      <c r="Q44">
        <v>82360</v>
      </c>
      <c r="R44">
        <v>2175</v>
      </c>
      <c r="S44">
        <v>2200</v>
      </c>
      <c r="T44">
        <v>750</v>
      </c>
      <c r="U44">
        <v>102950</v>
      </c>
      <c r="V44">
        <v>87485</v>
      </c>
      <c r="W44">
        <v>0.1767731611133336</v>
      </c>
      <c r="X44">
        <v>15465</v>
      </c>
      <c r="Y44" t="s">
        <v>73</v>
      </c>
      <c r="Z44" s="2">
        <v>42486</v>
      </c>
      <c r="AA44">
        <v>1</v>
      </c>
      <c r="AB44" t="s">
        <v>191</v>
      </c>
      <c r="AC44" t="s">
        <v>39</v>
      </c>
      <c r="AD44" t="s">
        <v>40</v>
      </c>
      <c r="AE44" t="str">
        <f t="shared" si="0"/>
        <v>Tuesday</v>
      </c>
      <c r="AF44" s="12">
        <f>Table1[[#This Row],[Total Cost]]+Table1[[#This Row],[PROFIT]]</f>
        <v>102950</v>
      </c>
    </row>
    <row r="45" spans="1:32" x14ac:dyDescent="0.3">
      <c r="A45">
        <v>44</v>
      </c>
      <c r="B45">
        <v>41</v>
      </c>
      <c r="C45">
        <v>1</v>
      </c>
      <c r="D45" t="s">
        <v>192</v>
      </c>
      <c r="E45">
        <v>17500</v>
      </c>
      <c r="F45">
        <v>2266.5966386554619</v>
      </c>
      <c r="G45">
        <v>20</v>
      </c>
      <c r="H45" s="2">
        <v>42490</v>
      </c>
      <c r="I45">
        <v>41</v>
      </c>
      <c r="J45" t="s">
        <v>162</v>
      </c>
      <c r="K45" t="s">
        <v>163</v>
      </c>
      <c r="L45" t="s">
        <v>164</v>
      </c>
      <c r="M45" t="s">
        <v>89</v>
      </c>
      <c r="N45" t="s">
        <v>90</v>
      </c>
      <c r="O45" t="s">
        <v>91</v>
      </c>
      <c r="P45">
        <v>11</v>
      </c>
      <c r="Q45">
        <v>14000</v>
      </c>
      <c r="R45">
        <v>2000</v>
      </c>
      <c r="S45">
        <v>500</v>
      </c>
      <c r="T45">
        <v>150</v>
      </c>
      <c r="U45">
        <v>17500</v>
      </c>
      <c r="V45">
        <v>16650</v>
      </c>
      <c r="W45">
        <v>5.1051051051051122E-2</v>
      </c>
      <c r="X45">
        <v>850</v>
      </c>
      <c r="Y45" t="s">
        <v>49</v>
      </c>
      <c r="Z45" s="2">
        <v>42489</v>
      </c>
      <c r="AA45">
        <v>2</v>
      </c>
      <c r="AB45" t="s">
        <v>50</v>
      </c>
      <c r="AC45" t="s">
        <v>51</v>
      </c>
      <c r="AD45" t="s">
        <v>52</v>
      </c>
      <c r="AE45" t="str">
        <f t="shared" si="0"/>
        <v>Saturday</v>
      </c>
      <c r="AF45" s="12">
        <f>Table1[[#This Row],[Total Cost]]+Table1[[#This Row],[PROFIT]]</f>
        <v>17500</v>
      </c>
    </row>
    <row r="46" spans="1:32" x14ac:dyDescent="0.3">
      <c r="A46">
        <v>45</v>
      </c>
      <c r="B46">
        <v>42</v>
      </c>
      <c r="C46">
        <v>1</v>
      </c>
      <c r="D46" t="s">
        <v>193</v>
      </c>
      <c r="E46">
        <v>8800</v>
      </c>
      <c r="F46">
        <v>500</v>
      </c>
      <c r="G46">
        <v>21</v>
      </c>
      <c r="H46" s="2">
        <v>42490</v>
      </c>
      <c r="I46">
        <v>42</v>
      </c>
      <c r="J46" t="s">
        <v>166</v>
      </c>
      <c r="K46" t="s">
        <v>167</v>
      </c>
      <c r="L46" t="s">
        <v>142</v>
      </c>
      <c r="M46" t="s">
        <v>34</v>
      </c>
      <c r="N46" t="s">
        <v>35</v>
      </c>
      <c r="O46" t="s">
        <v>36</v>
      </c>
      <c r="P46">
        <v>13</v>
      </c>
      <c r="Q46">
        <v>7040</v>
      </c>
      <c r="R46">
        <v>140</v>
      </c>
      <c r="S46">
        <v>750</v>
      </c>
      <c r="T46">
        <v>150</v>
      </c>
      <c r="U46">
        <v>8800</v>
      </c>
      <c r="V46">
        <v>8080</v>
      </c>
      <c r="W46">
        <v>8.9108910891089188E-2</v>
      </c>
      <c r="X46">
        <v>720</v>
      </c>
      <c r="Y46" t="s">
        <v>44</v>
      </c>
      <c r="Z46" s="2">
        <v>42210</v>
      </c>
      <c r="AA46">
        <v>2</v>
      </c>
      <c r="AB46" t="s">
        <v>66</v>
      </c>
      <c r="AC46" t="s">
        <v>51</v>
      </c>
      <c r="AD46" t="s">
        <v>52</v>
      </c>
      <c r="AE46" t="str">
        <f t="shared" si="0"/>
        <v>Saturday</v>
      </c>
      <c r="AF46" s="12">
        <f>Table1[[#This Row],[Total Cost]]+Table1[[#This Row],[PROFIT]]</f>
        <v>8800</v>
      </c>
    </row>
    <row r="47" spans="1:32" x14ac:dyDescent="0.3">
      <c r="A47">
        <v>46</v>
      </c>
      <c r="B47">
        <v>43</v>
      </c>
      <c r="C47">
        <v>1</v>
      </c>
      <c r="D47" t="s">
        <v>194</v>
      </c>
      <c r="E47">
        <v>99500</v>
      </c>
      <c r="F47">
        <v>500</v>
      </c>
      <c r="G47">
        <v>23</v>
      </c>
      <c r="H47" s="2">
        <v>42490</v>
      </c>
      <c r="I47">
        <v>43</v>
      </c>
      <c r="J47" t="s">
        <v>174</v>
      </c>
      <c r="K47" t="s">
        <v>175</v>
      </c>
      <c r="L47" t="s">
        <v>176</v>
      </c>
      <c r="M47" t="s">
        <v>57</v>
      </c>
      <c r="N47" t="s">
        <v>58</v>
      </c>
      <c r="O47" t="s">
        <v>36</v>
      </c>
      <c r="P47">
        <v>9</v>
      </c>
      <c r="Q47">
        <v>79600</v>
      </c>
      <c r="R47">
        <v>500</v>
      </c>
      <c r="S47">
        <v>750</v>
      </c>
      <c r="T47">
        <v>750</v>
      </c>
      <c r="U47">
        <v>99500</v>
      </c>
      <c r="V47">
        <v>81600</v>
      </c>
      <c r="W47">
        <v>0.2193627450980393</v>
      </c>
      <c r="X47">
        <v>17900</v>
      </c>
      <c r="Y47" t="s">
        <v>73</v>
      </c>
      <c r="Z47" s="2">
        <v>42492</v>
      </c>
      <c r="AA47">
        <v>1</v>
      </c>
      <c r="AB47" t="s">
        <v>195</v>
      </c>
      <c r="AC47" t="s">
        <v>39</v>
      </c>
      <c r="AD47" t="s">
        <v>40</v>
      </c>
      <c r="AE47" t="str">
        <f t="shared" si="0"/>
        <v>Saturday</v>
      </c>
      <c r="AF47" s="12">
        <f>Table1[[#This Row],[Total Cost]]+Table1[[#This Row],[PROFIT]]</f>
        <v>99500</v>
      </c>
    </row>
    <row r="48" spans="1:32" x14ac:dyDescent="0.3">
      <c r="A48">
        <v>47</v>
      </c>
      <c r="B48">
        <v>44</v>
      </c>
      <c r="C48">
        <v>1</v>
      </c>
      <c r="D48" t="s">
        <v>196</v>
      </c>
      <c r="E48">
        <v>17500</v>
      </c>
      <c r="F48">
        <v>500</v>
      </c>
      <c r="G48">
        <v>21</v>
      </c>
      <c r="H48" s="2">
        <v>42490.477083333331</v>
      </c>
      <c r="I48">
        <v>44</v>
      </c>
      <c r="J48" t="s">
        <v>166</v>
      </c>
      <c r="K48" t="s">
        <v>167</v>
      </c>
      <c r="L48" t="s">
        <v>142</v>
      </c>
      <c r="M48" t="s">
        <v>34</v>
      </c>
      <c r="N48" t="s">
        <v>35</v>
      </c>
      <c r="O48" t="s">
        <v>36</v>
      </c>
      <c r="P48">
        <v>51</v>
      </c>
      <c r="Q48">
        <v>14000</v>
      </c>
      <c r="R48">
        <v>1360</v>
      </c>
      <c r="S48">
        <v>225</v>
      </c>
      <c r="T48">
        <v>150</v>
      </c>
      <c r="U48">
        <v>17500</v>
      </c>
      <c r="V48">
        <v>15735</v>
      </c>
      <c r="W48">
        <v>0.1121703209405784</v>
      </c>
      <c r="X48">
        <v>1765</v>
      </c>
      <c r="Y48" t="s">
        <v>103</v>
      </c>
      <c r="Z48" s="2">
        <v>42492</v>
      </c>
      <c r="AA48">
        <v>9</v>
      </c>
      <c r="AB48" t="s">
        <v>116</v>
      </c>
      <c r="AC48" t="s">
        <v>117</v>
      </c>
      <c r="AD48" t="s">
        <v>40</v>
      </c>
      <c r="AE48" t="str">
        <f t="shared" si="0"/>
        <v>Saturday</v>
      </c>
      <c r="AF48" s="12">
        <f>Table1[[#This Row],[Total Cost]]+Table1[[#This Row],[PROFIT]]</f>
        <v>17500</v>
      </c>
    </row>
    <row r="49" spans="1:32" x14ac:dyDescent="0.3">
      <c r="A49">
        <v>48</v>
      </c>
      <c r="B49">
        <v>45</v>
      </c>
      <c r="C49">
        <v>1</v>
      </c>
      <c r="D49" t="s">
        <v>197</v>
      </c>
      <c r="E49">
        <v>12500</v>
      </c>
      <c r="F49">
        <v>2266.5966386554619</v>
      </c>
      <c r="G49">
        <v>10</v>
      </c>
      <c r="H49" s="2">
        <v>42490</v>
      </c>
      <c r="I49">
        <v>45</v>
      </c>
      <c r="J49" t="s">
        <v>93</v>
      </c>
      <c r="K49" t="s">
        <v>94</v>
      </c>
      <c r="L49" t="s">
        <v>95</v>
      </c>
      <c r="M49" t="s">
        <v>34</v>
      </c>
      <c r="N49" t="s">
        <v>35</v>
      </c>
      <c r="O49" t="s">
        <v>36</v>
      </c>
      <c r="P49">
        <v>52</v>
      </c>
      <c r="Q49">
        <v>10000</v>
      </c>
      <c r="R49">
        <v>500</v>
      </c>
      <c r="S49">
        <v>750</v>
      </c>
      <c r="T49">
        <v>150</v>
      </c>
      <c r="U49">
        <v>12500</v>
      </c>
      <c r="V49">
        <v>11400</v>
      </c>
      <c r="W49">
        <v>9.6491228070175517E-2</v>
      </c>
      <c r="X49">
        <v>1100</v>
      </c>
      <c r="Y49" t="s">
        <v>73</v>
      </c>
      <c r="Z49" s="2">
        <v>42501</v>
      </c>
      <c r="AA49">
        <v>9</v>
      </c>
      <c r="AB49" t="s">
        <v>198</v>
      </c>
      <c r="AC49" t="s">
        <v>117</v>
      </c>
      <c r="AD49" t="s">
        <v>40</v>
      </c>
      <c r="AE49" t="str">
        <f t="shared" si="0"/>
        <v>Saturday</v>
      </c>
      <c r="AF49" s="12">
        <f>Table1[[#This Row],[Total Cost]]+Table1[[#This Row],[PROFIT]]</f>
        <v>12500</v>
      </c>
    </row>
    <row r="50" spans="1:32" x14ac:dyDescent="0.3">
      <c r="A50">
        <v>49</v>
      </c>
      <c r="B50">
        <v>46</v>
      </c>
      <c r="C50">
        <v>1</v>
      </c>
      <c r="D50" t="s">
        <v>199</v>
      </c>
      <c r="E50">
        <v>9950</v>
      </c>
      <c r="F50">
        <v>2266.5966386554619</v>
      </c>
      <c r="G50">
        <v>15</v>
      </c>
      <c r="H50" s="2">
        <v>42520</v>
      </c>
      <c r="I50">
        <v>46</v>
      </c>
      <c r="J50" t="s">
        <v>119</v>
      </c>
      <c r="K50" t="s">
        <v>120</v>
      </c>
      <c r="L50" t="s">
        <v>95</v>
      </c>
      <c r="M50" t="s">
        <v>34</v>
      </c>
      <c r="N50" t="s">
        <v>35</v>
      </c>
      <c r="O50" t="s">
        <v>36</v>
      </c>
      <c r="P50">
        <v>76</v>
      </c>
      <c r="Q50">
        <v>7960</v>
      </c>
      <c r="R50">
        <v>500</v>
      </c>
      <c r="S50">
        <v>750</v>
      </c>
      <c r="T50">
        <v>150</v>
      </c>
      <c r="U50">
        <v>49450</v>
      </c>
      <c r="V50">
        <v>9360</v>
      </c>
      <c r="W50">
        <v>4.2831196581196576</v>
      </c>
      <c r="X50">
        <v>40090</v>
      </c>
      <c r="Y50" t="s">
        <v>37</v>
      </c>
      <c r="Z50" s="2">
        <v>42515</v>
      </c>
      <c r="AA50">
        <v>16</v>
      </c>
      <c r="AB50" t="s">
        <v>127</v>
      </c>
      <c r="AC50" t="s">
        <v>122</v>
      </c>
      <c r="AD50" t="s">
        <v>71</v>
      </c>
      <c r="AE50" t="str">
        <f t="shared" si="0"/>
        <v>Monday</v>
      </c>
      <c r="AF50" s="12">
        <f>Table1[[#This Row],[Total Cost]]+Table1[[#This Row],[PROFIT]]</f>
        <v>49450</v>
      </c>
    </row>
    <row r="51" spans="1:32" x14ac:dyDescent="0.3">
      <c r="A51">
        <v>50</v>
      </c>
      <c r="B51">
        <v>46</v>
      </c>
      <c r="C51">
        <v>2</v>
      </c>
      <c r="D51" t="s">
        <v>200</v>
      </c>
      <c r="E51">
        <v>39500</v>
      </c>
      <c r="F51">
        <v>2450</v>
      </c>
      <c r="G51">
        <v>15</v>
      </c>
      <c r="H51" s="2">
        <v>42520</v>
      </c>
      <c r="I51">
        <v>46</v>
      </c>
      <c r="J51" t="s">
        <v>119</v>
      </c>
      <c r="K51" t="s">
        <v>120</v>
      </c>
      <c r="L51" t="s">
        <v>95</v>
      </c>
      <c r="M51" t="s">
        <v>34</v>
      </c>
      <c r="N51" t="s">
        <v>35</v>
      </c>
      <c r="O51" t="s">
        <v>36</v>
      </c>
      <c r="P51">
        <v>77</v>
      </c>
      <c r="Q51">
        <v>31600</v>
      </c>
      <c r="R51">
        <v>2000</v>
      </c>
      <c r="S51">
        <v>750</v>
      </c>
      <c r="T51">
        <v>550</v>
      </c>
      <c r="U51">
        <v>49450</v>
      </c>
      <c r="V51">
        <v>34900</v>
      </c>
      <c r="W51">
        <v>0.41690544412607439</v>
      </c>
      <c r="X51">
        <v>14550</v>
      </c>
      <c r="Y51" t="s">
        <v>73</v>
      </c>
      <c r="Z51" s="2">
        <v>42518</v>
      </c>
      <c r="AA51">
        <v>16</v>
      </c>
      <c r="AB51" t="s">
        <v>201</v>
      </c>
      <c r="AC51" t="s">
        <v>122</v>
      </c>
      <c r="AD51" t="s">
        <v>71</v>
      </c>
      <c r="AE51" t="str">
        <f t="shared" si="0"/>
        <v>Monday</v>
      </c>
      <c r="AF51" s="12">
        <f>Table1[[#This Row],[Total Cost]]+Table1[[#This Row],[PROFIT]]</f>
        <v>49450</v>
      </c>
    </row>
    <row r="52" spans="1:32" x14ac:dyDescent="0.3">
      <c r="A52">
        <v>51</v>
      </c>
      <c r="B52">
        <v>47</v>
      </c>
      <c r="C52">
        <v>1</v>
      </c>
      <c r="D52" t="s">
        <v>202</v>
      </c>
      <c r="E52">
        <v>49580</v>
      </c>
      <c r="F52">
        <v>2266.5966386554619</v>
      </c>
      <c r="G52">
        <v>16</v>
      </c>
      <c r="H52" s="2">
        <v>42520</v>
      </c>
      <c r="I52">
        <v>47</v>
      </c>
      <c r="J52" t="s">
        <v>124</v>
      </c>
      <c r="K52" t="s">
        <v>125</v>
      </c>
      <c r="L52" t="s">
        <v>110</v>
      </c>
      <c r="M52" t="s">
        <v>64</v>
      </c>
      <c r="N52" t="s">
        <v>65</v>
      </c>
      <c r="O52" t="s">
        <v>36</v>
      </c>
      <c r="P52">
        <v>24</v>
      </c>
      <c r="Q52">
        <v>39664</v>
      </c>
      <c r="R52">
        <v>660</v>
      </c>
      <c r="S52">
        <v>500</v>
      </c>
      <c r="T52">
        <v>550</v>
      </c>
      <c r="U52">
        <v>49580</v>
      </c>
      <c r="V52">
        <v>41374</v>
      </c>
      <c r="W52">
        <v>0.19833711993039119</v>
      </c>
      <c r="X52">
        <v>8206</v>
      </c>
      <c r="Y52" t="s">
        <v>73</v>
      </c>
      <c r="Z52" s="2">
        <v>42518</v>
      </c>
      <c r="AA52">
        <v>4</v>
      </c>
      <c r="AB52" t="s">
        <v>80</v>
      </c>
      <c r="AC52" t="s">
        <v>70</v>
      </c>
      <c r="AD52" t="s">
        <v>71</v>
      </c>
      <c r="AE52" t="str">
        <f t="shared" si="0"/>
        <v>Monday</v>
      </c>
      <c r="AF52" s="12">
        <f>Table1[[#This Row],[Total Cost]]+Table1[[#This Row],[PROFIT]]</f>
        <v>49580</v>
      </c>
    </row>
    <row r="53" spans="1:32" x14ac:dyDescent="0.3">
      <c r="A53">
        <v>52</v>
      </c>
      <c r="B53">
        <v>48</v>
      </c>
      <c r="C53">
        <v>1</v>
      </c>
      <c r="D53" t="s">
        <v>203</v>
      </c>
      <c r="E53">
        <v>5500</v>
      </c>
      <c r="F53">
        <v>2266.5966386554619</v>
      </c>
      <c r="G53">
        <v>8</v>
      </c>
      <c r="H53" s="2">
        <v>42536</v>
      </c>
      <c r="I53">
        <v>48</v>
      </c>
      <c r="J53" t="s">
        <v>82</v>
      </c>
      <c r="K53" t="s">
        <v>83</v>
      </c>
      <c r="L53" t="s">
        <v>84</v>
      </c>
      <c r="M53" t="s">
        <v>64</v>
      </c>
      <c r="N53" t="s">
        <v>65</v>
      </c>
      <c r="O53" t="s">
        <v>36</v>
      </c>
      <c r="P53">
        <v>86</v>
      </c>
      <c r="Q53">
        <v>4400</v>
      </c>
      <c r="R53">
        <v>500</v>
      </c>
      <c r="S53">
        <v>750</v>
      </c>
      <c r="T53">
        <v>150</v>
      </c>
      <c r="U53">
        <v>5500</v>
      </c>
      <c r="V53">
        <v>5800</v>
      </c>
      <c r="W53">
        <v>-5.1724137931034482E-2</v>
      </c>
      <c r="X53">
        <v>-300</v>
      </c>
      <c r="Y53" t="s">
        <v>73</v>
      </c>
      <c r="Z53" s="2">
        <v>42518</v>
      </c>
      <c r="AA53">
        <v>21</v>
      </c>
      <c r="AB53" t="s">
        <v>133</v>
      </c>
      <c r="AC53" t="s">
        <v>134</v>
      </c>
      <c r="AD53" t="s">
        <v>71</v>
      </c>
      <c r="AE53" t="str">
        <f t="shared" si="0"/>
        <v>Wednesday</v>
      </c>
      <c r="AF53" s="12">
        <f>Table1[[#This Row],[Total Cost]]+Table1[[#This Row],[PROFIT]]</f>
        <v>5500</v>
      </c>
    </row>
    <row r="54" spans="1:32" x14ac:dyDescent="0.3">
      <c r="A54">
        <v>53</v>
      </c>
      <c r="B54">
        <v>49</v>
      </c>
      <c r="C54">
        <v>1</v>
      </c>
      <c r="D54" t="s">
        <v>204</v>
      </c>
      <c r="E54">
        <v>22150</v>
      </c>
      <c r="F54">
        <v>500</v>
      </c>
      <c r="G54">
        <v>26</v>
      </c>
      <c r="H54" s="2">
        <v>42536</v>
      </c>
      <c r="I54">
        <v>49</v>
      </c>
      <c r="J54" t="s">
        <v>205</v>
      </c>
      <c r="K54" t="s">
        <v>206</v>
      </c>
      <c r="L54" t="s">
        <v>207</v>
      </c>
      <c r="M54" t="s">
        <v>34</v>
      </c>
      <c r="N54" t="s">
        <v>35</v>
      </c>
      <c r="O54" t="s">
        <v>36</v>
      </c>
      <c r="P54">
        <v>11</v>
      </c>
      <c r="Q54">
        <v>17720</v>
      </c>
      <c r="R54">
        <v>1360</v>
      </c>
      <c r="S54">
        <v>750</v>
      </c>
      <c r="T54">
        <v>150</v>
      </c>
      <c r="U54">
        <v>22150</v>
      </c>
      <c r="V54">
        <v>19980</v>
      </c>
      <c r="W54">
        <v>0.1086086086086087</v>
      </c>
      <c r="X54">
        <v>2170</v>
      </c>
      <c r="Y54" t="s">
        <v>68</v>
      </c>
      <c r="Z54" s="2">
        <v>42518</v>
      </c>
      <c r="AA54">
        <v>2</v>
      </c>
      <c r="AB54" t="s">
        <v>50</v>
      </c>
      <c r="AC54" t="s">
        <v>51</v>
      </c>
      <c r="AD54" t="s">
        <v>52</v>
      </c>
      <c r="AE54" t="str">
        <f t="shared" si="0"/>
        <v>Wednesday</v>
      </c>
      <c r="AF54" s="12">
        <f>Table1[[#This Row],[Total Cost]]+Table1[[#This Row],[PROFIT]]</f>
        <v>22150</v>
      </c>
    </row>
    <row r="55" spans="1:32" x14ac:dyDescent="0.3">
      <c r="A55">
        <v>54</v>
      </c>
      <c r="B55">
        <v>50</v>
      </c>
      <c r="C55">
        <v>1</v>
      </c>
      <c r="D55" t="s">
        <v>208</v>
      </c>
      <c r="E55">
        <v>35000</v>
      </c>
      <c r="F55">
        <v>2266.5966386554619</v>
      </c>
      <c r="G55">
        <v>27</v>
      </c>
      <c r="H55" s="2">
        <v>42536</v>
      </c>
      <c r="I55">
        <v>50</v>
      </c>
      <c r="J55" t="s">
        <v>209</v>
      </c>
      <c r="K55" t="s">
        <v>210</v>
      </c>
      <c r="L55" t="s">
        <v>33</v>
      </c>
      <c r="M55" t="s">
        <v>34</v>
      </c>
      <c r="N55" t="s">
        <v>35</v>
      </c>
      <c r="O55" t="s">
        <v>36</v>
      </c>
      <c r="P55">
        <v>74</v>
      </c>
      <c r="Q55">
        <v>28000</v>
      </c>
      <c r="R55">
        <v>500</v>
      </c>
      <c r="S55">
        <v>750</v>
      </c>
      <c r="T55">
        <v>550</v>
      </c>
      <c r="U55">
        <v>35000</v>
      </c>
      <c r="V55">
        <v>29800</v>
      </c>
      <c r="W55">
        <v>0.17449664429530201</v>
      </c>
      <c r="X55">
        <v>5200</v>
      </c>
      <c r="Y55" t="s">
        <v>73</v>
      </c>
      <c r="Z55" s="2">
        <v>42523</v>
      </c>
      <c r="AA55">
        <v>16</v>
      </c>
      <c r="AB55" t="s">
        <v>144</v>
      </c>
      <c r="AC55" t="s">
        <v>122</v>
      </c>
      <c r="AD55" t="s">
        <v>71</v>
      </c>
      <c r="AE55" t="str">
        <f t="shared" si="0"/>
        <v>Wednesday</v>
      </c>
      <c r="AF55" s="12">
        <f>Table1[[#This Row],[Total Cost]]+Table1[[#This Row],[PROFIT]]</f>
        <v>35000</v>
      </c>
    </row>
    <row r="56" spans="1:32" x14ac:dyDescent="0.3">
      <c r="A56">
        <v>55</v>
      </c>
      <c r="B56">
        <v>51</v>
      </c>
      <c r="C56">
        <v>1</v>
      </c>
      <c r="D56" t="s">
        <v>211</v>
      </c>
      <c r="E56">
        <v>29650</v>
      </c>
      <c r="F56">
        <v>2266.5966386554619</v>
      </c>
      <c r="G56">
        <v>28</v>
      </c>
      <c r="H56" s="2">
        <v>42536</v>
      </c>
      <c r="I56">
        <v>51</v>
      </c>
      <c r="J56" t="s">
        <v>212</v>
      </c>
      <c r="K56" t="s">
        <v>213</v>
      </c>
      <c r="L56" t="s">
        <v>84</v>
      </c>
      <c r="M56" t="s">
        <v>64</v>
      </c>
      <c r="N56" t="s">
        <v>65</v>
      </c>
      <c r="O56" t="s">
        <v>36</v>
      </c>
      <c r="P56">
        <v>75</v>
      </c>
      <c r="Q56">
        <v>23720</v>
      </c>
      <c r="R56">
        <v>660</v>
      </c>
      <c r="S56">
        <v>750</v>
      </c>
      <c r="T56">
        <v>150</v>
      </c>
      <c r="U56">
        <v>174650</v>
      </c>
      <c r="V56">
        <v>25280</v>
      </c>
      <c r="W56">
        <v>5.9086234177215191</v>
      </c>
      <c r="X56">
        <v>149370</v>
      </c>
      <c r="Y56" t="s">
        <v>37</v>
      </c>
      <c r="Z56" s="2">
        <v>42524</v>
      </c>
      <c r="AA56">
        <v>16</v>
      </c>
      <c r="AB56" t="s">
        <v>121</v>
      </c>
      <c r="AC56" t="s">
        <v>122</v>
      </c>
      <c r="AD56" t="s">
        <v>71</v>
      </c>
      <c r="AE56" t="str">
        <f t="shared" si="0"/>
        <v>Wednesday</v>
      </c>
      <c r="AF56" s="12">
        <f>Table1[[#This Row],[Total Cost]]+Table1[[#This Row],[PROFIT]]</f>
        <v>174650</v>
      </c>
    </row>
    <row r="57" spans="1:32" x14ac:dyDescent="0.3">
      <c r="A57">
        <v>56</v>
      </c>
      <c r="B57">
        <v>51</v>
      </c>
      <c r="C57">
        <v>2</v>
      </c>
      <c r="D57" t="s">
        <v>214</v>
      </c>
      <c r="E57">
        <v>45500</v>
      </c>
      <c r="F57">
        <v>2266.5966386554619</v>
      </c>
      <c r="G57">
        <v>28</v>
      </c>
      <c r="H57" s="2">
        <v>42536</v>
      </c>
      <c r="I57">
        <v>51</v>
      </c>
      <c r="J57" t="s">
        <v>212</v>
      </c>
      <c r="K57" t="s">
        <v>213</v>
      </c>
      <c r="L57" t="s">
        <v>84</v>
      </c>
      <c r="M57" t="s">
        <v>64</v>
      </c>
      <c r="N57" t="s">
        <v>65</v>
      </c>
      <c r="O57" t="s">
        <v>36</v>
      </c>
      <c r="P57">
        <v>24</v>
      </c>
      <c r="Q57">
        <v>36400</v>
      </c>
      <c r="R57">
        <v>500</v>
      </c>
      <c r="S57">
        <v>750</v>
      </c>
      <c r="T57">
        <v>550</v>
      </c>
      <c r="U57">
        <v>174650</v>
      </c>
      <c r="V57">
        <v>38200</v>
      </c>
      <c r="W57">
        <v>3.5719895287958119</v>
      </c>
      <c r="X57">
        <v>136450</v>
      </c>
      <c r="Y57" t="s">
        <v>37</v>
      </c>
      <c r="Z57" s="2">
        <v>42525</v>
      </c>
      <c r="AA57">
        <v>4</v>
      </c>
      <c r="AB57" t="s">
        <v>80</v>
      </c>
      <c r="AC57" t="s">
        <v>70</v>
      </c>
      <c r="AD57" t="s">
        <v>71</v>
      </c>
      <c r="AE57" t="str">
        <f t="shared" si="0"/>
        <v>Wednesday</v>
      </c>
      <c r="AF57" s="12">
        <f>Table1[[#This Row],[Total Cost]]+Table1[[#This Row],[PROFIT]]</f>
        <v>174650</v>
      </c>
    </row>
    <row r="58" spans="1:32" x14ac:dyDescent="0.3">
      <c r="A58">
        <v>57</v>
      </c>
      <c r="B58">
        <v>51</v>
      </c>
      <c r="C58">
        <v>3</v>
      </c>
      <c r="D58" t="s">
        <v>215</v>
      </c>
      <c r="E58">
        <v>99500</v>
      </c>
      <c r="F58">
        <v>750</v>
      </c>
      <c r="G58">
        <v>28</v>
      </c>
      <c r="H58" s="2">
        <v>42536</v>
      </c>
      <c r="I58">
        <v>51</v>
      </c>
      <c r="J58" t="s">
        <v>212</v>
      </c>
      <c r="K58" t="s">
        <v>213</v>
      </c>
      <c r="L58" t="s">
        <v>84</v>
      </c>
      <c r="M58" t="s">
        <v>64</v>
      </c>
      <c r="N58" t="s">
        <v>65</v>
      </c>
      <c r="O58" t="s">
        <v>36</v>
      </c>
      <c r="P58">
        <v>32</v>
      </c>
      <c r="Q58">
        <v>79600</v>
      </c>
      <c r="R58">
        <v>2175</v>
      </c>
      <c r="S58">
        <v>750</v>
      </c>
      <c r="T58">
        <v>750</v>
      </c>
      <c r="U58">
        <v>174650</v>
      </c>
      <c r="V58">
        <v>83275</v>
      </c>
      <c r="W58">
        <v>1.097268087661363</v>
      </c>
      <c r="X58">
        <v>91375</v>
      </c>
      <c r="Y58" t="s">
        <v>126</v>
      </c>
      <c r="Z58" s="2">
        <v>42527</v>
      </c>
      <c r="AA58">
        <v>5</v>
      </c>
      <c r="AB58" t="s">
        <v>97</v>
      </c>
      <c r="AC58" t="s">
        <v>98</v>
      </c>
      <c r="AD58" t="s">
        <v>71</v>
      </c>
      <c r="AE58" t="str">
        <f t="shared" si="0"/>
        <v>Wednesday</v>
      </c>
      <c r="AF58" s="12">
        <f>Table1[[#This Row],[Total Cost]]+Table1[[#This Row],[PROFIT]]</f>
        <v>174650</v>
      </c>
    </row>
    <row r="59" spans="1:32" x14ac:dyDescent="0.3">
      <c r="A59">
        <v>58</v>
      </c>
      <c r="B59">
        <v>52</v>
      </c>
      <c r="C59">
        <v>1</v>
      </c>
      <c r="D59" t="s">
        <v>216</v>
      </c>
      <c r="E59">
        <v>15650</v>
      </c>
      <c r="F59">
        <v>2266.5966386554619</v>
      </c>
      <c r="G59">
        <v>29</v>
      </c>
      <c r="H59" s="2">
        <v>42552.333333333343</v>
      </c>
      <c r="I59">
        <v>52</v>
      </c>
      <c r="J59" t="s">
        <v>217</v>
      </c>
      <c r="K59" t="s">
        <v>218</v>
      </c>
      <c r="L59" t="s">
        <v>78</v>
      </c>
      <c r="M59" t="s">
        <v>34</v>
      </c>
      <c r="N59" t="s">
        <v>35</v>
      </c>
      <c r="O59" t="s">
        <v>36</v>
      </c>
      <c r="P59">
        <v>13</v>
      </c>
      <c r="Q59">
        <v>12520</v>
      </c>
      <c r="R59">
        <v>500</v>
      </c>
      <c r="S59">
        <v>225</v>
      </c>
      <c r="T59">
        <v>150</v>
      </c>
      <c r="U59">
        <v>15650</v>
      </c>
      <c r="V59">
        <v>13395</v>
      </c>
      <c r="W59">
        <v>0.16834639790966779</v>
      </c>
      <c r="X59">
        <v>2255</v>
      </c>
      <c r="Y59" t="s">
        <v>68</v>
      </c>
      <c r="Z59" s="2">
        <v>42551</v>
      </c>
      <c r="AA59">
        <v>2</v>
      </c>
      <c r="AB59" t="s">
        <v>66</v>
      </c>
      <c r="AC59" t="s">
        <v>51</v>
      </c>
      <c r="AD59" t="s">
        <v>52</v>
      </c>
      <c r="AE59" t="str">
        <f t="shared" si="0"/>
        <v>Friday</v>
      </c>
      <c r="AF59" s="12">
        <f>Table1[[#This Row],[Total Cost]]+Table1[[#This Row],[PROFIT]]</f>
        <v>15650</v>
      </c>
    </row>
    <row r="60" spans="1:32" x14ac:dyDescent="0.3">
      <c r="A60">
        <v>59</v>
      </c>
      <c r="B60">
        <v>53</v>
      </c>
      <c r="C60">
        <v>1</v>
      </c>
      <c r="D60" t="s">
        <v>219</v>
      </c>
      <c r="E60">
        <v>12500</v>
      </c>
      <c r="F60">
        <v>750</v>
      </c>
      <c r="G60">
        <v>20</v>
      </c>
      <c r="H60" s="2">
        <v>42557</v>
      </c>
      <c r="I60">
        <v>53</v>
      </c>
      <c r="J60" t="s">
        <v>162</v>
      </c>
      <c r="K60" t="s">
        <v>163</v>
      </c>
      <c r="L60" t="s">
        <v>164</v>
      </c>
      <c r="M60" t="s">
        <v>89</v>
      </c>
      <c r="N60" t="s">
        <v>90</v>
      </c>
      <c r="O60" t="s">
        <v>91</v>
      </c>
      <c r="P60">
        <v>51</v>
      </c>
      <c r="Q60">
        <v>10000</v>
      </c>
      <c r="R60">
        <v>500</v>
      </c>
      <c r="S60">
        <v>750</v>
      </c>
      <c r="T60">
        <v>150</v>
      </c>
      <c r="U60">
        <v>12500</v>
      </c>
      <c r="V60">
        <v>11400</v>
      </c>
      <c r="W60">
        <v>9.6491228070175517E-2</v>
      </c>
      <c r="X60">
        <v>1100</v>
      </c>
      <c r="Y60" t="s">
        <v>49</v>
      </c>
      <c r="Z60" s="2">
        <v>42554</v>
      </c>
      <c r="AA60">
        <v>9</v>
      </c>
      <c r="AB60" t="s">
        <v>116</v>
      </c>
      <c r="AC60" t="s">
        <v>117</v>
      </c>
      <c r="AD60" t="s">
        <v>40</v>
      </c>
      <c r="AE60" t="str">
        <f t="shared" si="0"/>
        <v>Wednesday</v>
      </c>
      <c r="AF60" s="12">
        <f>Table1[[#This Row],[Total Cost]]+Table1[[#This Row],[PROFIT]]</f>
        <v>12500</v>
      </c>
    </row>
    <row r="61" spans="1:32" x14ac:dyDescent="0.3">
      <c r="A61">
        <v>60</v>
      </c>
      <c r="B61">
        <v>54</v>
      </c>
      <c r="C61">
        <v>1</v>
      </c>
      <c r="D61" t="s">
        <v>220</v>
      </c>
      <c r="E61">
        <v>195000</v>
      </c>
      <c r="F61">
        <v>2266.5966386554619</v>
      </c>
      <c r="G61">
        <v>30</v>
      </c>
      <c r="H61" s="2">
        <v>42576.416666666657</v>
      </c>
      <c r="I61">
        <v>54</v>
      </c>
      <c r="J61" t="s">
        <v>221</v>
      </c>
      <c r="K61" t="s">
        <v>222</v>
      </c>
      <c r="L61" t="s">
        <v>78</v>
      </c>
      <c r="M61" t="s">
        <v>34</v>
      </c>
      <c r="N61" t="s">
        <v>35</v>
      </c>
      <c r="O61" t="s">
        <v>36</v>
      </c>
      <c r="P61">
        <v>2</v>
      </c>
      <c r="Q61">
        <v>156000</v>
      </c>
      <c r="R61">
        <v>3950</v>
      </c>
      <c r="S61">
        <v>3150</v>
      </c>
      <c r="T61">
        <v>1950</v>
      </c>
      <c r="U61">
        <v>195000</v>
      </c>
      <c r="V61">
        <v>165050</v>
      </c>
      <c r="W61">
        <v>0.18146016358679179</v>
      </c>
      <c r="X61">
        <v>29950</v>
      </c>
      <c r="Y61" t="s">
        <v>73</v>
      </c>
      <c r="Z61" s="2">
        <v>42556</v>
      </c>
      <c r="AA61">
        <v>1</v>
      </c>
      <c r="AB61" t="s">
        <v>38</v>
      </c>
      <c r="AC61" t="s">
        <v>39</v>
      </c>
      <c r="AD61" t="s">
        <v>40</v>
      </c>
      <c r="AE61" t="str">
        <f t="shared" si="0"/>
        <v>Monday</v>
      </c>
      <c r="AF61" s="12">
        <f>Table1[[#This Row],[Total Cost]]+Table1[[#This Row],[PROFIT]]</f>
        <v>195000</v>
      </c>
    </row>
    <row r="62" spans="1:32" x14ac:dyDescent="0.3">
      <c r="A62">
        <v>61</v>
      </c>
      <c r="B62">
        <v>55</v>
      </c>
      <c r="C62">
        <v>1</v>
      </c>
      <c r="D62" t="s">
        <v>223</v>
      </c>
      <c r="E62">
        <v>205000</v>
      </c>
      <c r="F62">
        <v>2266.5966386554619</v>
      </c>
      <c r="G62">
        <v>15</v>
      </c>
      <c r="H62" s="2">
        <v>42576</v>
      </c>
      <c r="I62">
        <v>55</v>
      </c>
      <c r="J62" t="s">
        <v>119</v>
      </c>
      <c r="K62" t="s">
        <v>120</v>
      </c>
      <c r="L62" t="s">
        <v>95</v>
      </c>
      <c r="M62" t="s">
        <v>34</v>
      </c>
      <c r="N62" t="s">
        <v>35</v>
      </c>
      <c r="O62" t="s">
        <v>36</v>
      </c>
      <c r="P62">
        <v>3</v>
      </c>
      <c r="Q62">
        <v>164000</v>
      </c>
      <c r="R62">
        <v>9250</v>
      </c>
      <c r="S62">
        <v>750</v>
      </c>
      <c r="T62">
        <v>1950</v>
      </c>
      <c r="U62">
        <v>205000</v>
      </c>
      <c r="V62">
        <v>175950</v>
      </c>
      <c r="W62">
        <v>0.16510372264847969</v>
      </c>
      <c r="X62">
        <v>29050</v>
      </c>
      <c r="Y62" t="s">
        <v>73</v>
      </c>
      <c r="Z62" s="2">
        <v>42558</v>
      </c>
      <c r="AA62">
        <v>1</v>
      </c>
      <c r="AB62" t="s">
        <v>45</v>
      </c>
      <c r="AC62" t="s">
        <v>39</v>
      </c>
      <c r="AD62" t="s">
        <v>40</v>
      </c>
      <c r="AE62" t="str">
        <f t="shared" si="0"/>
        <v>Monday</v>
      </c>
      <c r="AF62" s="12">
        <f>Table1[[#This Row],[Total Cost]]+Table1[[#This Row],[PROFIT]]</f>
        <v>205000</v>
      </c>
    </row>
    <row r="63" spans="1:32" x14ac:dyDescent="0.3">
      <c r="A63">
        <v>62</v>
      </c>
      <c r="B63">
        <v>56</v>
      </c>
      <c r="C63">
        <v>1</v>
      </c>
      <c r="D63" t="s">
        <v>224</v>
      </c>
      <c r="E63">
        <v>66500</v>
      </c>
      <c r="F63">
        <v>2266.5966386554619</v>
      </c>
      <c r="G63">
        <v>14</v>
      </c>
      <c r="H63" s="2">
        <v>42576</v>
      </c>
      <c r="I63">
        <v>56</v>
      </c>
      <c r="J63" t="s">
        <v>114</v>
      </c>
      <c r="K63" t="s">
        <v>115</v>
      </c>
      <c r="L63" t="s">
        <v>95</v>
      </c>
      <c r="M63" t="s">
        <v>34</v>
      </c>
      <c r="N63" t="s">
        <v>35</v>
      </c>
      <c r="O63" t="s">
        <v>36</v>
      </c>
      <c r="P63">
        <v>14</v>
      </c>
      <c r="Q63">
        <v>53200</v>
      </c>
      <c r="R63">
        <v>1490</v>
      </c>
      <c r="S63">
        <v>750</v>
      </c>
      <c r="T63">
        <v>750</v>
      </c>
      <c r="U63">
        <v>66500</v>
      </c>
      <c r="V63">
        <v>56190</v>
      </c>
      <c r="W63">
        <v>0.18348460580174411</v>
      </c>
      <c r="X63">
        <v>10310</v>
      </c>
      <c r="Y63" t="s">
        <v>73</v>
      </c>
      <c r="Z63" s="2">
        <v>42559</v>
      </c>
      <c r="AA63">
        <v>2</v>
      </c>
      <c r="AB63" t="s">
        <v>225</v>
      </c>
      <c r="AC63" t="s">
        <v>51</v>
      </c>
      <c r="AD63" t="s">
        <v>52</v>
      </c>
      <c r="AE63" t="str">
        <f t="shared" si="0"/>
        <v>Monday</v>
      </c>
      <c r="AF63" s="12">
        <f>Table1[[#This Row],[Total Cost]]+Table1[[#This Row],[PROFIT]]</f>
        <v>66500</v>
      </c>
    </row>
    <row r="64" spans="1:32" x14ac:dyDescent="0.3">
      <c r="A64">
        <v>63</v>
      </c>
      <c r="B64">
        <v>57</v>
      </c>
      <c r="C64">
        <v>1</v>
      </c>
      <c r="D64" t="s">
        <v>226</v>
      </c>
      <c r="E64">
        <v>19500</v>
      </c>
      <c r="F64">
        <v>2266.5966386554619</v>
      </c>
      <c r="G64">
        <v>31</v>
      </c>
      <c r="H64" s="2">
        <v>42576</v>
      </c>
      <c r="I64">
        <v>57</v>
      </c>
      <c r="J64" t="s">
        <v>227</v>
      </c>
      <c r="K64" t="s">
        <v>228</v>
      </c>
      <c r="L64" t="s">
        <v>78</v>
      </c>
      <c r="M64" t="s">
        <v>34</v>
      </c>
      <c r="N64" t="s">
        <v>35</v>
      </c>
      <c r="O64" t="s">
        <v>36</v>
      </c>
      <c r="P64">
        <v>15</v>
      </c>
      <c r="Q64">
        <v>15600</v>
      </c>
      <c r="R64">
        <v>1360</v>
      </c>
      <c r="S64">
        <v>750</v>
      </c>
      <c r="T64">
        <v>150</v>
      </c>
      <c r="U64">
        <v>19500</v>
      </c>
      <c r="V64">
        <v>17860</v>
      </c>
      <c r="W64">
        <v>9.1825307950727852E-2</v>
      </c>
      <c r="X64">
        <v>1640</v>
      </c>
      <c r="Y64" t="s">
        <v>68</v>
      </c>
      <c r="Z64" s="2">
        <v>42560</v>
      </c>
      <c r="AA64">
        <v>2</v>
      </c>
      <c r="AB64" t="s">
        <v>229</v>
      </c>
      <c r="AC64" t="s">
        <v>51</v>
      </c>
      <c r="AD64" t="s">
        <v>52</v>
      </c>
      <c r="AE64" t="str">
        <f t="shared" si="0"/>
        <v>Monday</v>
      </c>
      <c r="AF64" s="12">
        <f>Table1[[#This Row],[Total Cost]]+Table1[[#This Row],[PROFIT]]</f>
        <v>19500</v>
      </c>
    </row>
    <row r="65" spans="1:32" x14ac:dyDescent="0.3">
      <c r="A65">
        <v>64</v>
      </c>
      <c r="B65">
        <v>58</v>
      </c>
      <c r="C65">
        <v>1</v>
      </c>
      <c r="D65" t="s">
        <v>230</v>
      </c>
      <c r="E65">
        <v>79500</v>
      </c>
      <c r="F65">
        <v>500</v>
      </c>
      <c r="G65">
        <v>32</v>
      </c>
      <c r="H65" s="2">
        <v>42577</v>
      </c>
      <c r="I65">
        <v>58</v>
      </c>
      <c r="J65" t="s">
        <v>231</v>
      </c>
      <c r="K65" t="s">
        <v>232</v>
      </c>
      <c r="L65" t="s">
        <v>233</v>
      </c>
      <c r="M65" t="s">
        <v>234</v>
      </c>
      <c r="N65" t="s">
        <v>235</v>
      </c>
      <c r="O65" t="s">
        <v>36</v>
      </c>
      <c r="P65">
        <v>32</v>
      </c>
      <c r="Q65">
        <v>63600</v>
      </c>
      <c r="R65">
        <v>2000</v>
      </c>
      <c r="S65">
        <v>1500</v>
      </c>
      <c r="T65">
        <v>750</v>
      </c>
      <c r="U65">
        <v>79500</v>
      </c>
      <c r="V65">
        <v>67850</v>
      </c>
      <c r="W65">
        <v>0.17170228445099481</v>
      </c>
      <c r="X65">
        <v>11650</v>
      </c>
      <c r="Y65" t="s">
        <v>44</v>
      </c>
      <c r="Z65" s="2">
        <v>42576</v>
      </c>
      <c r="AA65">
        <v>5</v>
      </c>
      <c r="AB65" t="s">
        <v>97</v>
      </c>
      <c r="AC65" t="s">
        <v>98</v>
      </c>
      <c r="AD65" t="s">
        <v>71</v>
      </c>
      <c r="AE65" t="str">
        <f t="shared" si="0"/>
        <v>Tuesday</v>
      </c>
      <c r="AF65" s="12">
        <f>Table1[[#This Row],[Total Cost]]+Table1[[#This Row],[PROFIT]]</f>
        <v>79500</v>
      </c>
    </row>
    <row r="66" spans="1:32" x14ac:dyDescent="0.3">
      <c r="A66">
        <v>65</v>
      </c>
      <c r="B66">
        <v>59</v>
      </c>
      <c r="C66">
        <v>1</v>
      </c>
      <c r="D66" t="s">
        <v>236</v>
      </c>
      <c r="E66">
        <v>14590</v>
      </c>
      <c r="F66">
        <v>2266.5966386554619</v>
      </c>
      <c r="G66">
        <v>33</v>
      </c>
      <c r="H66" s="2">
        <v>42577.416666666657</v>
      </c>
      <c r="I66">
        <v>59</v>
      </c>
      <c r="J66" t="s">
        <v>237</v>
      </c>
      <c r="K66" t="s">
        <v>238</v>
      </c>
      <c r="L66" t="s">
        <v>239</v>
      </c>
      <c r="M66" t="s">
        <v>240</v>
      </c>
      <c r="N66" t="s">
        <v>241</v>
      </c>
      <c r="O66" t="s">
        <v>36</v>
      </c>
      <c r="P66">
        <v>86</v>
      </c>
      <c r="Q66">
        <v>11672</v>
      </c>
      <c r="R66">
        <v>500</v>
      </c>
      <c r="S66">
        <v>750</v>
      </c>
      <c r="T66">
        <v>150</v>
      </c>
      <c r="U66">
        <v>14590</v>
      </c>
      <c r="V66">
        <v>13072</v>
      </c>
      <c r="W66">
        <v>0.116126070991432</v>
      </c>
      <c r="X66">
        <v>1518</v>
      </c>
      <c r="Y66" t="s">
        <v>126</v>
      </c>
      <c r="Z66" s="2">
        <v>42576</v>
      </c>
      <c r="AA66">
        <v>21</v>
      </c>
      <c r="AB66" t="s">
        <v>133</v>
      </c>
      <c r="AC66" t="s">
        <v>134</v>
      </c>
      <c r="AD66" t="s">
        <v>71</v>
      </c>
      <c r="AE66" t="str">
        <f t="shared" si="0"/>
        <v>Tuesday</v>
      </c>
      <c r="AF66" s="12">
        <f>Table1[[#This Row],[Total Cost]]+Table1[[#This Row],[PROFIT]]</f>
        <v>14590</v>
      </c>
    </row>
    <row r="67" spans="1:32" x14ac:dyDescent="0.3">
      <c r="A67">
        <v>66</v>
      </c>
      <c r="B67">
        <v>60</v>
      </c>
      <c r="C67">
        <v>1</v>
      </c>
      <c r="D67" t="s">
        <v>242</v>
      </c>
      <c r="E67">
        <v>12750</v>
      </c>
      <c r="F67">
        <v>2266.5966386554619</v>
      </c>
      <c r="G67">
        <v>32</v>
      </c>
      <c r="H67" s="2">
        <v>42584</v>
      </c>
      <c r="I67">
        <v>60</v>
      </c>
      <c r="J67" t="s">
        <v>231</v>
      </c>
      <c r="K67" t="s">
        <v>232</v>
      </c>
      <c r="L67" t="s">
        <v>233</v>
      </c>
      <c r="M67" t="s">
        <v>234</v>
      </c>
      <c r="N67" t="s">
        <v>235</v>
      </c>
      <c r="O67" t="s">
        <v>36</v>
      </c>
      <c r="P67">
        <v>87</v>
      </c>
      <c r="Q67">
        <v>10200</v>
      </c>
      <c r="R67">
        <v>970</v>
      </c>
      <c r="S67">
        <v>750</v>
      </c>
      <c r="T67">
        <v>150</v>
      </c>
      <c r="U67">
        <v>12750</v>
      </c>
      <c r="V67">
        <v>12070</v>
      </c>
      <c r="W67">
        <v>5.6338028169014009E-2</v>
      </c>
      <c r="X67">
        <v>680</v>
      </c>
      <c r="Y67" t="s">
        <v>44</v>
      </c>
      <c r="Z67" s="2">
        <v>42576</v>
      </c>
      <c r="AA67">
        <v>21</v>
      </c>
      <c r="AB67" t="s">
        <v>138</v>
      </c>
      <c r="AC67" t="s">
        <v>134</v>
      </c>
      <c r="AD67" t="s">
        <v>71</v>
      </c>
      <c r="AE67" t="str">
        <f t="shared" ref="AE67:AE130" si="1">TEXT(H67,"dddd")</f>
        <v>Tuesday</v>
      </c>
      <c r="AF67" s="12">
        <f>Table1[[#This Row],[Total Cost]]+Table1[[#This Row],[PROFIT]]</f>
        <v>12750</v>
      </c>
    </row>
    <row r="68" spans="1:32" x14ac:dyDescent="0.3">
      <c r="A68">
        <v>67</v>
      </c>
      <c r="B68">
        <v>61</v>
      </c>
      <c r="C68">
        <v>1</v>
      </c>
      <c r="D68" t="s">
        <v>243</v>
      </c>
      <c r="E68">
        <v>45600</v>
      </c>
      <c r="F68">
        <v>2266.5966386554619</v>
      </c>
      <c r="G68">
        <v>22</v>
      </c>
      <c r="H68" s="2">
        <v>42584</v>
      </c>
      <c r="I68">
        <v>61</v>
      </c>
      <c r="J68" t="s">
        <v>171</v>
      </c>
      <c r="K68" t="s">
        <v>172</v>
      </c>
      <c r="L68" t="s">
        <v>142</v>
      </c>
      <c r="M68" t="s">
        <v>34</v>
      </c>
      <c r="N68" t="s">
        <v>35</v>
      </c>
      <c r="O68" t="s">
        <v>36</v>
      </c>
      <c r="P68">
        <v>25</v>
      </c>
      <c r="Q68">
        <v>36480</v>
      </c>
      <c r="R68">
        <v>500</v>
      </c>
      <c r="S68">
        <v>500</v>
      </c>
      <c r="T68">
        <v>550</v>
      </c>
      <c r="U68">
        <v>45600</v>
      </c>
      <c r="V68">
        <v>38030</v>
      </c>
      <c r="W68">
        <v>0.19905337891138569</v>
      </c>
      <c r="X68">
        <v>7570</v>
      </c>
      <c r="Y68" t="s">
        <v>244</v>
      </c>
      <c r="Z68" s="2">
        <v>42582</v>
      </c>
      <c r="AA68">
        <v>4</v>
      </c>
      <c r="AB68" t="s">
        <v>245</v>
      </c>
      <c r="AC68" t="s">
        <v>70</v>
      </c>
      <c r="AD68" t="s">
        <v>71</v>
      </c>
      <c r="AE68" t="str">
        <f t="shared" si="1"/>
        <v>Tuesday</v>
      </c>
      <c r="AF68" s="12">
        <f>Table1[[#This Row],[Total Cost]]+Table1[[#This Row],[PROFIT]]</f>
        <v>45600</v>
      </c>
    </row>
    <row r="69" spans="1:32" x14ac:dyDescent="0.3">
      <c r="A69">
        <v>68</v>
      </c>
      <c r="B69">
        <v>62</v>
      </c>
      <c r="C69">
        <v>1</v>
      </c>
      <c r="D69" t="s">
        <v>246</v>
      </c>
      <c r="E69">
        <v>6500</v>
      </c>
      <c r="F69">
        <v>500</v>
      </c>
      <c r="G69">
        <v>21</v>
      </c>
      <c r="H69" s="2">
        <v>42584</v>
      </c>
      <c r="I69">
        <v>62</v>
      </c>
      <c r="J69" t="s">
        <v>166</v>
      </c>
      <c r="K69" t="s">
        <v>167</v>
      </c>
      <c r="L69" t="s">
        <v>142</v>
      </c>
      <c r="M69" t="s">
        <v>34</v>
      </c>
      <c r="N69" t="s">
        <v>35</v>
      </c>
      <c r="O69" t="s">
        <v>36</v>
      </c>
      <c r="P69">
        <v>88</v>
      </c>
      <c r="Q69">
        <v>5200</v>
      </c>
      <c r="R69">
        <v>500</v>
      </c>
      <c r="S69">
        <v>750</v>
      </c>
      <c r="T69">
        <v>150</v>
      </c>
      <c r="U69">
        <v>6500</v>
      </c>
      <c r="V69">
        <v>6600</v>
      </c>
      <c r="W69">
        <v>-1.515151515151514E-2</v>
      </c>
      <c r="X69">
        <v>-100</v>
      </c>
      <c r="Y69" t="s">
        <v>73</v>
      </c>
      <c r="Z69" s="2">
        <v>42582</v>
      </c>
      <c r="AA69">
        <v>21</v>
      </c>
      <c r="AB69" t="s">
        <v>247</v>
      </c>
      <c r="AC69" t="s">
        <v>134</v>
      </c>
      <c r="AD69" t="s">
        <v>71</v>
      </c>
      <c r="AE69" t="str">
        <f t="shared" si="1"/>
        <v>Tuesday</v>
      </c>
      <c r="AF69" s="12">
        <f>Table1[[#This Row],[Total Cost]]+Table1[[#This Row],[PROFIT]]</f>
        <v>6500</v>
      </c>
    </row>
    <row r="70" spans="1:32" x14ac:dyDescent="0.3">
      <c r="A70">
        <v>69</v>
      </c>
      <c r="B70">
        <v>63</v>
      </c>
      <c r="C70">
        <v>1</v>
      </c>
      <c r="D70" t="s">
        <v>248</v>
      </c>
      <c r="E70">
        <v>102500</v>
      </c>
      <c r="F70">
        <v>1500</v>
      </c>
      <c r="G70">
        <v>15</v>
      </c>
      <c r="H70" s="2">
        <v>42584</v>
      </c>
      <c r="I70">
        <v>63</v>
      </c>
      <c r="J70" t="s">
        <v>119</v>
      </c>
      <c r="K70" t="s">
        <v>120</v>
      </c>
      <c r="L70" t="s">
        <v>95</v>
      </c>
      <c r="M70" t="s">
        <v>34</v>
      </c>
      <c r="N70" t="s">
        <v>35</v>
      </c>
      <c r="O70" t="s">
        <v>36</v>
      </c>
      <c r="P70">
        <v>26</v>
      </c>
      <c r="Q70">
        <v>82000</v>
      </c>
      <c r="R70">
        <v>2175</v>
      </c>
      <c r="S70">
        <v>1500</v>
      </c>
      <c r="T70">
        <v>750</v>
      </c>
      <c r="U70">
        <v>102500</v>
      </c>
      <c r="V70">
        <v>86425</v>
      </c>
      <c r="W70">
        <v>0.18599942146369691</v>
      </c>
      <c r="X70">
        <v>16075</v>
      </c>
      <c r="Y70" t="s">
        <v>168</v>
      </c>
      <c r="Z70" s="2">
        <v>42582</v>
      </c>
      <c r="AA70">
        <v>4</v>
      </c>
      <c r="AB70" t="s">
        <v>147</v>
      </c>
      <c r="AC70" t="s">
        <v>70</v>
      </c>
      <c r="AD70" t="s">
        <v>71</v>
      </c>
      <c r="AE70" t="str">
        <f t="shared" si="1"/>
        <v>Tuesday</v>
      </c>
      <c r="AF70" s="12">
        <f>Table1[[#This Row],[Total Cost]]+Table1[[#This Row],[PROFIT]]</f>
        <v>102500</v>
      </c>
    </row>
    <row r="71" spans="1:32" x14ac:dyDescent="0.3">
      <c r="A71">
        <v>70</v>
      </c>
      <c r="B71">
        <v>64</v>
      </c>
      <c r="C71">
        <v>1</v>
      </c>
      <c r="D71" t="s">
        <v>249</v>
      </c>
      <c r="E71">
        <v>99500</v>
      </c>
      <c r="F71">
        <v>2266.5966386554619</v>
      </c>
      <c r="G71">
        <v>16</v>
      </c>
      <c r="H71" s="2">
        <v>42591</v>
      </c>
      <c r="I71">
        <v>64</v>
      </c>
      <c r="J71" t="s">
        <v>124</v>
      </c>
      <c r="K71" t="s">
        <v>125</v>
      </c>
      <c r="L71" t="s">
        <v>110</v>
      </c>
      <c r="M71" t="s">
        <v>64</v>
      </c>
      <c r="N71" t="s">
        <v>65</v>
      </c>
      <c r="O71" t="s">
        <v>36</v>
      </c>
      <c r="P71">
        <v>74</v>
      </c>
      <c r="Q71">
        <v>79600</v>
      </c>
      <c r="R71">
        <v>2000</v>
      </c>
      <c r="S71">
        <v>750</v>
      </c>
      <c r="T71">
        <v>750</v>
      </c>
      <c r="U71">
        <v>99500</v>
      </c>
      <c r="V71">
        <v>83100</v>
      </c>
      <c r="W71">
        <v>0.19735258724428409</v>
      </c>
      <c r="X71">
        <v>16400</v>
      </c>
      <c r="Y71" t="s">
        <v>79</v>
      </c>
      <c r="Z71" s="2">
        <v>42585</v>
      </c>
      <c r="AA71">
        <v>16</v>
      </c>
      <c r="AB71" t="s">
        <v>144</v>
      </c>
      <c r="AC71" t="s">
        <v>122</v>
      </c>
      <c r="AD71" t="s">
        <v>71</v>
      </c>
      <c r="AE71" t="str">
        <f t="shared" si="1"/>
        <v>Tuesday</v>
      </c>
      <c r="AF71" s="12">
        <f>Table1[[#This Row],[Total Cost]]+Table1[[#This Row],[PROFIT]]</f>
        <v>99500</v>
      </c>
    </row>
    <row r="72" spans="1:32" x14ac:dyDescent="0.3">
      <c r="A72">
        <v>71</v>
      </c>
      <c r="B72">
        <v>65</v>
      </c>
      <c r="C72">
        <v>1</v>
      </c>
      <c r="D72" t="s">
        <v>250</v>
      </c>
      <c r="E72">
        <v>12500</v>
      </c>
      <c r="F72">
        <v>750</v>
      </c>
      <c r="G72">
        <v>14</v>
      </c>
      <c r="H72" s="2">
        <v>42592</v>
      </c>
      <c r="I72">
        <v>65</v>
      </c>
      <c r="J72" t="s">
        <v>114</v>
      </c>
      <c r="K72" t="s">
        <v>115</v>
      </c>
      <c r="L72" t="s">
        <v>95</v>
      </c>
      <c r="M72" t="s">
        <v>34</v>
      </c>
      <c r="N72" t="s">
        <v>35</v>
      </c>
      <c r="O72" t="s">
        <v>36</v>
      </c>
      <c r="P72">
        <v>28</v>
      </c>
      <c r="Q72">
        <v>10000</v>
      </c>
      <c r="R72">
        <v>500</v>
      </c>
      <c r="S72">
        <v>750</v>
      </c>
      <c r="T72">
        <v>150</v>
      </c>
      <c r="U72">
        <v>12500</v>
      </c>
      <c r="V72">
        <v>11400</v>
      </c>
      <c r="W72">
        <v>9.6491228070175517E-2</v>
      </c>
      <c r="X72">
        <v>1100</v>
      </c>
      <c r="Y72" t="s">
        <v>244</v>
      </c>
      <c r="Z72" s="2">
        <v>42585</v>
      </c>
      <c r="AA72">
        <v>4</v>
      </c>
      <c r="AB72" t="s">
        <v>251</v>
      </c>
      <c r="AC72" t="s">
        <v>70</v>
      </c>
      <c r="AD72" t="s">
        <v>71</v>
      </c>
      <c r="AE72" t="str">
        <f t="shared" si="1"/>
        <v>Wednesday</v>
      </c>
      <c r="AF72" s="12">
        <f>Table1[[#This Row],[Total Cost]]+Table1[[#This Row],[PROFIT]]</f>
        <v>12500</v>
      </c>
    </row>
    <row r="73" spans="1:32" x14ac:dyDescent="0.3">
      <c r="A73">
        <v>72</v>
      </c>
      <c r="B73">
        <v>66</v>
      </c>
      <c r="C73">
        <v>1</v>
      </c>
      <c r="D73" t="s">
        <v>252</v>
      </c>
      <c r="E73">
        <v>61500</v>
      </c>
      <c r="F73">
        <v>2266.5966386554619</v>
      </c>
      <c r="G73">
        <v>4</v>
      </c>
      <c r="H73" s="2">
        <v>42594.416666666657</v>
      </c>
      <c r="I73">
        <v>66</v>
      </c>
      <c r="J73" t="s">
        <v>54</v>
      </c>
      <c r="K73" t="s">
        <v>55</v>
      </c>
      <c r="L73" t="s">
        <v>56</v>
      </c>
      <c r="M73" t="s">
        <v>57</v>
      </c>
      <c r="N73" t="s">
        <v>58</v>
      </c>
      <c r="O73" t="s">
        <v>36</v>
      </c>
      <c r="P73">
        <v>29</v>
      </c>
      <c r="Q73">
        <v>49200</v>
      </c>
      <c r="R73">
        <v>1360</v>
      </c>
      <c r="S73">
        <v>750</v>
      </c>
      <c r="T73">
        <v>550</v>
      </c>
      <c r="U73">
        <v>61500</v>
      </c>
      <c r="V73">
        <v>51860</v>
      </c>
      <c r="W73">
        <v>0.18588507520246811</v>
      </c>
      <c r="X73">
        <v>9640</v>
      </c>
      <c r="Y73" t="s">
        <v>37</v>
      </c>
      <c r="Z73" s="2">
        <v>42592</v>
      </c>
      <c r="AA73">
        <v>4</v>
      </c>
      <c r="AB73" t="s">
        <v>253</v>
      </c>
      <c r="AC73" t="s">
        <v>70</v>
      </c>
      <c r="AD73" t="s">
        <v>71</v>
      </c>
      <c r="AE73" t="str">
        <f t="shared" si="1"/>
        <v>Friday</v>
      </c>
      <c r="AF73" s="12">
        <f>Table1[[#This Row],[Total Cost]]+Table1[[#This Row],[PROFIT]]</f>
        <v>61500</v>
      </c>
    </row>
    <row r="74" spans="1:32" x14ac:dyDescent="0.3">
      <c r="A74">
        <v>73</v>
      </c>
      <c r="B74">
        <v>67</v>
      </c>
      <c r="C74">
        <v>1</v>
      </c>
      <c r="D74" t="s">
        <v>254</v>
      </c>
      <c r="E74">
        <v>79500</v>
      </c>
      <c r="F74">
        <v>2450</v>
      </c>
      <c r="G74">
        <v>6</v>
      </c>
      <c r="H74" s="2">
        <v>42595</v>
      </c>
      <c r="I74">
        <v>67</v>
      </c>
      <c r="J74" t="s">
        <v>151</v>
      </c>
      <c r="K74" t="s">
        <v>152</v>
      </c>
      <c r="L74" t="s">
        <v>153</v>
      </c>
      <c r="M74" t="s">
        <v>154</v>
      </c>
      <c r="N74" t="s">
        <v>155</v>
      </c>
      <c r="O74" t="s">
        <v>36</v>
      </c>
      <c r="P74">
        <v>25</v>
      </c>
      <c r="Q74">
        <v>63600</v>
      </c>
      <c r="R74">
        <v>1490</v>
      </c>
      <c r="S74">
        <v>750</v>
      </c>
      <c r="T74">
        <v>750</v>
      </c>
      <c r="U74">
        <v>79500</v>
      </c>
      <c r="V74">
        <v>66590</v>
      </c>
      <c r="W74">
        <v>0.19387295389698139</v>
      </c>
      <c r="X74">
        <v>12910</v>
      </c>
      <c r="Y74" t="s">
        <v>37</v>
      </c>
      <c r="Z74" s="2">
        <v>42592</v>
      </c>
      <c r="AA74">
        <v>4</v>
      </c>
      <c r="AB74" t="s">
        <v>245</v>
      </c>
      <c r="AC74" t="s">
        <v>70</v>
      </c>
      <c r="AD74" t="s">
        <v>71</v>
      </c>
      <c r="AE74" t="str">
        <f t="shared" si="1"/>
        <v>Saturday</v>
      </c>
      <c r="AF74" s="12">
        <f>Table1[[#This Row],[Total Cost]]+Table1[[#This Row],[PROFIT]]</f>
        <v>79500</v>
      </c>
    </row>
    <row r="75" spans="1:32" x14ac:dyDescent="0.3">
      <c r="A75">
        <v>74</v>
      </c>
      <c r="B75">
        <v>68</v>
      </c>
      <c r="C75">
        <v>1</v>
      </c>
      <c r="D75" t="s">
        <v>255</v>
      </c>
      <c r="E75">
        <v>16500</v>
      </c>
      <c r="F75">
        <v>2266.5966386554619</v>
      </c>
      <c r="G75">
        <v>18</v>
      </c>
      <c r="H75" s="2">
        <v>42595</v>
      </c>
      <c r="I75">
        <v>68</v>
      </c>
      <c r="J75" t="s">
        <v>136</v>
      </c>
      <c r="K75" t="s">
        <v>137</v>
      </c>
      <c r="L75" t="s">
        <v>95</v>
      </c>
      <c r="M75" t="s">
        <v>34</v>
      </c>
      <c r="N75" t="s">
        <v>35</v>
      </c>
      <c r="O75" t="s">
        <v>36</v>
      </c>
      <c r="P75">
        <v>12</v>
      </c>
      <c r="Q75">
        <v>13200</v>
      </c>
      <c r="R75">
        <v>500</v>
      </c>
      <c r="S75">
        <v>750</v>
      </c>
      <c r="T75">
        <v>150</v>
      </c>
      <c r="U75">
        <v>50100</v>
      </c>
      <c r="V75">
        <v>14600</v>
      </c>
      <c r="W75">
        <v>2.4315068493150691</v>
      </c>
      <c r="X75">
        <v>35500</v>
      </c>
      <c r="Y75" t="s">
        <v>49</v>
      </c>
      <c r="Z75" s="2">
        <v>42592</v>
      </c>
      <c r="AA75">
        <v>2</v>
      </c>
      <c r="AB75" t="s">
        <v>59</v>
      </c>
      <c r="AC75" t="s">
        <v>51</v>
      </c>
      <c r="AD75" t="s">
        <v>52</v>
      </c>
      <c r="AE75" t="str">
        <f t="shared" si="1"/>
        <v>Saturday</v>
      </c>
      <c r="AF75" s="12">
        <f>Table1[[#This Row],[Total Cost]]+Table1[[#This Row],[PROFIT]]</f>
        <v>50100</v>
      </c>
    </row>
    <row r="76" spans="1:32" x14ac:dyDescent="0.3">
      <c r="A76">
        <v>75</v>
      </c>
      <c r="B76">
        <v>68</v>
      </c>
      <c r="C76">
        <v>2</v>
      </c>
      <c r="D76" t="s">
        <v>256</v>
      </c>
      <c r="E76">
        <v>33600</v>
      </c>
      <c r="F76">
        <v>2266.5966386554619</v>
      </c>
      <c r="G76">
        <v>18</v>
      </c>
      <c r="H76" s="2">
        <v>42595</v>
      </c>
      <c r="I76">
        <v>68</v>
      </c>
      <c r="J76" t="s">
        <v>136</v>
      </c>
      <c r="K76" t="s">
        <v>137</v>
      </c>
      <c r="L76" t="s">
        <v>95</v>
      </c>
      <c r="M76" t="s">
        <v>34</v>
      </c>
      <c r="N76" t="s">
        <v>35</v>
      </c>
      <c r="O76" t="s">
        <v>36</v>
      </c>
      <c r="P76">
        <v>11</v>
      </c>
      <c r="Q76">
        <v>26880</v>
      </c>
      <c r="R76">
        <v>500</v>
      </c>
      <c r="S76">
        <v>500</v>
      </c>
      <c r="T76">
        <v>550</v>
      </c>
      <c r="U76">
        <v>50100</v>
      </c>
      <c r="V76">
        <v>28430</v>
      </c>
      <c r="W76">
        <v>0.7622230038691522</v>
      </c>
      <c r="X76">
        <v>21670</v>
      </c>
      <c r="Y76" t="s">
        <v>73</v>
      </c>
      <c r="Z76" s="2">
        <v>42592</v>
      </c>
      <c r="AA76">
        <v>2</v>
      </c>
      <c r="AB76" t="s">
        <v>50</v>
      </c>
      <c r="AC76" t="s">
        <v>51</v>
      </c>
      <c r="AD76" t="s">
        <v>52</v>
      </c>
      <c r="AE76" t="str">
        <f t="shared" si="1"/>
        <v>Saturday</v>
      </c>
      <c r="AF76" s="12">
        <f>Table1[[#This Row],[Total Cost]]+Table1[[#This Row],[PROFIT]]</f>
        <v>50100</v>
      </c>
    </row>
    <row r="77" spans="1:32" x14ac:dyDescent="0.3">
      <c r="A77">
        <v>76</v>
      </c>
      <c r="B77">
        <v>69</v>
      </c>
      <c r="C77">
        <v>1</v>
      </c>
      <c r="D77" t="s">
        <v>257</v>
      </c>
      <c r="E77">
        <v>66500</v>
      </c>
      <c r="F77">
        <v>750</v>
      </c>
      <c r="G77">
        <v>5</v>
      </c>
      <c r="H77" s="2">
        <v>42595</v>
      </c>
      <c r="I77">
        <v>69</v>
      </c>
      <c r="J77" t="s">
        <v>61</v>
      </c>
      <c r="K77" t="s">
        <v>62</v>
      </c>
      <c r="L77" t="s">
        <v>63</v>
      </c>
      <c r="M77" t="s">
        <v>64</v>
      </c>
      <c r="N77" t="s">
        <v>65</v>
      </c>
      <c r="O77" t="s">
        <v>36</v>
      </c>
      <c r="P77">
        <v>11</v>
      </c>
      <c r="Q77">
        <v>53200</v>
      </c>
      <c r="R77">
        <v>2175</v>
      </c>
      <c r="S77">
        <v>1500</v>
      </c>
      <c r="T77">
        <v>750</v>
      </c>
      <c r="U77">
        <v>66500</v>
      </c>
      <c r="V77">
        <v>57625</v>
      </c>
      <c r="W77">
        <v>0.15401301518438171</v>
      </c>
      <c r="X77">
        <v>8875</v>
      </c>
      <c r="Y77" t="s">
        <v>49</v>
      </c>
      <c r="Z77" s="2">
        <v>42592</v>
      </c>
      <c r="AA77">
        <v>2</v>
      </c>
      <c r="AB77" t="s">
        <v>50</v>
      </c>
      <c r="AC77" t="s">
        <v>51</v>
      </c>
      <c r="AD77" t="s">
        <v>52</v>
      </c>
      <c r="AE77" t="str">
        <f t="shared" si="1"/>
        <v>Saturday</v>
      </c>
      <c r="AF77" s="12">
        <f>Table1[[#This Row],[Total Cost]]+Table1[[#This Row],[PROFIT]]</f>
        <v>66500</v>
      </c>
    </row>
    <row r="78" spans="1:32" x14ac:dyDescent="0.3">
      <c r="A78">
        <v>77</v>
      </c>
      <c r="B78">
        <v>70</v>
      </c>
      <c r="C78">
        <v>1</v>
      </c>
      <c r="D78" t="s">
        <v>258</v>
      </c>
      <c r="E78">
        <v>45000</v>
      </c>
      <c r="F78">
        <v>2266.5966386554619</v>
      </c>
      <c r="G78">
        <v>33</v>
      </c>
      <c r="H78" s="2">
        <v>42601</v>
      </c>
      <c r="I78">
        <v>70</v>
      </c>
      <c r="J78" t="s">
        <v>237</v>
      </c>
      <c r="K78" t="s">
        <v>238</v>
      </c>
      <c r="L78" t="s">
        <v>239</v>
      </c>
      <c r="M78" t="s">
        <v>240</v>
      </c>
      <c r="N78" t="s">
        <v>241</v>
      </c>
      <c r="O78" t="s">
        <v>36</v>
      </c>
      <c r="P78">
        <v>23</v>
      </c>
      <c r="Q78">
        <v>36000</v>
      </c>
      <c r="R78">
        <v>500</v>
      </c>
      <c r="S78">
        <v>150</v>
      </c>
      <c r="T78">
        <v>550</v>
      </c>
      <c r="U78">
        <v>45000</v>
      </c>
      <c r="V78">
        <v>37200</v>
      </c>
      <c r="W78">
        <v>0.20967741935483869</v>
      </c>
      <c r="X78">
        <v>7800</v>
      </c>
      <c r="Y78" t="s">
        <v>37</v>
      </c>
      <c r="Z78" s="2">
        <v>42593</v>
      </c>
      <c r="AA78">
        <v>4</v>
      </c>
      <c r="AB78" t="s">
        <v>74</v>
      </c>
      <c r="AC78" t="s">
        <v>70</v>
      </c>
      <c r="AD78" t="s">
        <v>71</v>
      </c>
      <c r="AE78" t="str">
        <f t="shared" si="1"/>
        <v>Friday</v>
      </c>
      <c r="AF78" s="12">
        <f>Table1[[#This Row],[Total Cost]]+Table1[[#This Row],[PROFIT]]</f>
        <v>45000</v>
      </c>
    </row>
    <row r="79" spans="1:32" x14ac:dyDescent="0.3">
      <c r="A79">
        <v>78</v>
      </c>
      <c r="B79">
        <v>71</v>
      </c>
      <c r="C79">
        <v>1</v>
      </c>
      <c r="D79" t="s">
        <v>259</v>
      </c>
      <c r="E79">
        <v>19500</v>
      </c>
      <c r="F79">
        <v>2266.5966386554619</v>
      </c>
      <c r="G79">
        <v>23</v>
      </c>
      <c r="H79" s="2">
        <v>42601</v>
      </c>
      <c r="I79">
        <v>71</v>
      </c>
      <c r="J79" t="s">
        <v>174</v>
      </c>
      <c r="K79" t="s">
        <v>175</v>
      </c>
      <c r="L79" t="s">
        <v>176</v>
      </c>
      <c r="M79" t="s">
        <v>57</v>
      </c>
      <c r="N79" t="s">
        <v>58</v>
      </c>
      <c r="O79" t="s">
        <v>36</v>
      </c>
      <c r="P79">
        <v>13</v>
      </c>
      <c r="Q79">
        <v>15600</v>
      </c>
      <c r="R79">
        <v>500</v>
      </c>
      <c r="S79">
        <v>750</v>
      </c>
      <c r="T79">
        <v>150</v>
      </c>
      <c r="U79">
        <v>19500</v>
      </c>
      <c r="V79">
        <v>17000</v>
      </c>
      <c r="W79">
        <v>0.14705882352941169</v>
      </c>
      <c r="X79">
        <v>2500</v>
      </c>
      <c r="Y79" t="s">
        <v>68</v>
      </c>
      <c r="Z79" s="2">
        <v>42593</v>
      </c>
      <c r="AA79">
        <v>2</v>
      </c>
      <c r="AB79" t="s">
        <v>66</v>
      </c>
      <c r="AC79" t="s">
        <v>51</v>
      </c>
      <c r="AD79" t="s">
        <v>52</v>
      </c>
      <c r="AE79" t="str">
        <f t="shared" si="1"/>
        <v>Friday</v>
      </c>
      <c r="AF79" s="12">
        <f>Table1[[#This Row],[Total Cost]]+Table1[[#This Row],[PROFIT]]</f>
        <v>19500</v>
      </c>
    </row>
    <row r="80" spans="1:32" x14ac:dyDescent="0.3">
      <c r="A80">
        <v>79</v>
      </c>
      <c r="B80">
        <v>72</v>
      </c>
      <c r="C80">
        <v>1</v>
      </c>
      <c r="D80" t="s">
        <v>260</v>
      </c>
      <c r="E80">
        <v>76500</v>
      </c>
      <c r="F80">
        <v>2266.5966386554619</v>
      </c>
      <c r="G80">
        <v>21</v>
      </c>
      <c r="H80" s="2">
        <v>42603</v>
      </c>
      <c r="I80">
        <v>72</v>
      </c>
      <c r="J80" t="s">
        <v>166</v>
      </c>
      <c r="K80" t="s">
        <v>167</v>
      </c>
      <c r="L80" t="s">
        <v>142</v>
      </c>
      <c r="M80" t="s">
        <v>34</v>
      </c>
      <c r="N80" t="s">
        <v>35</v>
      </c>
      <c r="O80" t="s">
        <v>36</v>
      </c>
      <c r="P80">
        <v>32</v>
      </c>
      <c r="Q80">
        <v>61200</v>
      </c>
      <c r="R80">
        <v>2000</v>
      </c>
      <c r="S80">
        <v>750</v>
      </c>
      <c r="T80">
        <v>750</v>
      </c>
      <c r="U80">
        <v>76500</v>
      </c>
      <c r="V80">
        <v>64700</v>
      </c>
      <c r="W80">
        <v>0.18238021638330751</v>
      </c>
      <c r="X80">
        <v>11800</v>
      </c>
      <c r="Y80" t="s">
        <v>168</v>
      </c>
      <c r="Z80" s="2">
        <v>42602</v>
      </c>
      <c r="AA80">
        <v>5</v>
      </c>
      <c r="AB80" t="s">
        <v>97</v>
      </c>
      <c r="AC80" t="s">
        <v>98</v>
      </c>
      <c r="AD80" t="s">
        <v>71</v>
      </c>
      <c r="AE80" t="str">
        <f t="shared" si="1"/>
        <v>Sunday</v>
      </c>
      <c r="AF80" s="12">
        <f>Table1[[#This Row],[Total Cost]]+Table1[[#This Row],[PROFIT]]</f>
        <v>76500</v>
      </c>
    </row>
    <row r="81" spans="1:32" x14ac:dyDescent="0.3">
      <c r="A81">
        <v>80</v>
      </c>
      <c r="B81">
        <v>73</v>
      </c>
      <c r="C81">
        <v>1</v>
      </c>
      <c r="D81" t="s">
        <v>261</v>
      </c>
      <c r="E81">
        <v>45900</v>
      </c>
      <c r="F81">
        <v>500</v>
      </c>
      <c r="G81">
        <v>14</v>
      </c>
      <c r="H81" s="2">
        <v>42604.333333333343</v>
      </c>
      <c r="I81">
        <v>73</v>
      </c>
      <c r="J81" t="s">
        <v>114</v>
      </c>
      <c r="K81" t="s">
        <v>115</v>
      </c>
      <c r="L81" t="s">
        <v>95</v>
      </c>
      <c r="M81" t="s">
        <v>34</v>
      </c>
      <c r="N81" t="s">
        <v>35</v>
      </c>
      <c r="O81" t="s">
        <v>36</v>
      </c>
      <c r="P81">
        <v>26</v>
      </c>
      <c r="Q81">
        <v>36720</v>
      </c>
      <c r="R81">
        <v>500</v>
      </c>
      <c r="S81">
        <v>500</v>
      </c>
      <c r="T81">
        <v>550</v>
      </c>
      <c r="U81">
        <v>45900</v>
      </c>
      <c r="V81">
        <v>38270</v>
      </c>
      <c r="W81">
        <v>0.19937287692709699</v>
      </c>
      <c r="X81">
        <v>7630</v>
      </c>
      <c r="Y81" t="s">
        <v>37</v>
      </c>
      <c r="Z81" s="2">
        <v>42602</v>
      </c>
      <c r="AA81">
        <v>4</v>
      </c>
      <c r="AB81" t="s">
        <v>147</v>
      </c>
      <c r="AC81" t="s">
        <v>70</v>
      </c>
      <c r="AD81" t="s">
        <v>71</v>
      </c>
      <c r="AE81" t="str">
        <f t="shared" si="1"/>
        <v>Monday</v>
      </c>
      <c r="AF81" s="12">
        <f>Table1[[#This Row],[Total Cost]]+Table1[[#This Row],[PROFIT]]</f>
        <v>45900</v>
      </c>
    </row>
    <row r="82" spans="1:32" x14ac:dyDescent="0.3">
      <c r="A82">
        <v>81</v>
      </c>
      <c r="B82">
        <v>74</v>
      </c>
      <c r="C82">
        <v>1</v>
      </c>
      <c r="D82" t="s">
        <v>262</v>
      </c>
      <c r="E82">
        <v>125000</v>
      </c>
      <c r="F82">
        <v>1500</v>
      </c>
      <c r="G82">
        <v>34</v>
      </c>
      <c r="H82" s="2">
        <v>42605</v>
      </c>
      <c r="I82">
        <v>74</v>
      </c>
      <c r="J82" t="s">
        <v>263</v>
      </c>
      <c r="K82" t="s">
        <v>264</v>
      </c>
      <c r="L82" t="s">
        <v>265</v>
      </c>
      <c r="M82" t="s">
        <v>266</v>
      </c>
      <c r="N82" t="s">
        <v>267</v>
      </c>
      <c r="O82" t="s">
        <v>36</v>
      </c>
      <c r="P82">
        <v>27</v>
      </c>
      <c r="Q82">
        <v>100000</v>
      </c>
      <c r="R82">
        <v>500</v>
      </c>
      <c r="S82">
        <v>2200</v>
      </c>
      <c r="T82">
        <v>750</v>
      </c>
      <c r="U82">
        <v>125000</v>
      </c>
      <c r="V82">
        <v>103450</v>
      </c>
      <c r="W82">
        <v>0.20831319478008689</v>
      </c>
      <c r="X82">
        <v>21550</v>
      </c>
      <c r="Y82" t="s">
        <v>103</v>
      </c>
      <c r="Z82" s="2">
        <v>42604</v>
      </c>
      <c r="AA82">
        <v>4</v>
      </c>
      <c r="AB82" t="s">
        <v>268</v>
      </c>
      <c r="AC82" t="s">
        <v>70</v>
      </c>
      <c r="AD82" t="s">
        <v>71</v>
      </c>
      <c r="AE82" t="str">
        <f t="shared" si="1"/>
        <v>Tuesday</v>
      </c>
      <c r="AF82" s="12">
        <f>Table1[[#This Row],[Total Cost]]+Table1[[#This Row],[PROFIT]]</f>
        <v>125000</v>
      </c>
    </row>
    <row r="83" spans="1:32" x14ac:dyDescent="0.3">
      <c r="A83">
        <v>82</v>
      </c>
      <c r="B83">
        <v>75</v>
      </c>
      <c r="C83">
        <v>1</v>
      </c>
      <c r="D83" t="s">
        <v>269</v>
      </c>
      <c r="E83">
        <v>65500</v>
      </c>
      <c r="F83">
        <v>2266.5966386554619</v>
      </c>
      <c r="G83">
        <v>35</v>
      </c>
      <c r="H83" s="2">
        <v>42606</v>
      </c>
      <c r="I83">
        <v>75</v>
      </c>
      <c r="J83" t="s">
        <v>270</v>
      </c>
      <c r="K83" t="s">
        <v>271</v>
      </c>
      <c r="L83" t="s">
        <v>84</v>
      </c>
      <c r="M83" t="s">
        <v>64</v>
      </c>
      <c r="N83" t="s">
        <v>65</v>
      </c>
      <c r="O83" t="s">
        <v>36</v>
      </c>
      <c r="P83">
        <v>28</v>
      </c>
      <c r="Q83">
        <v>52400</v>
      </c>
      <c r="R83">
        <v>500</v>
      </c>
      <c r="S83">
        <v>750</v>
      </c>
      <c r="T83">
        <v>750</v>
      </c>
      <c r="U83">
        <v>65500</v>
      </c>
      <c r="V83">
        <v>54400</v>
      </c>
      <c r="W83">
        <v>0.2040441176470589</v>
      </c>
      <c r="X83">
        <v>11100</v>
      </c>
      <c r="Y83" t="s">
        <v>103</v>
      </c>
      <c r="Z83" s="2">
        <v>42604</v>
      </c>
      <c r="AA83">
        <v>4</v>
      </c>
      <c r="AB83" t="s">
        <v>251</v>
      </c>
      <c r="AC83" t="s">
        <v>70</v>
      </c>
      <c r="AD83" t="s">
        <v>71</v>
      </c>
      <c r="AE83" t="str">
        <f t="shared" si="1"/>
        <v>Wednesday</v>
      </c>
      <c r="AF83" s="12">
        <f>Table1[[#This Row],[Total Cost]]+Table1[[#This Row],[PROFIT]]</f>
        <v>65500</v>
      </c>
    </row>
    <row r="84" spans="1:32" x14ac:dyDescent="0.3">
      <c r="A84">
        <v>83</v>
      </c>
      <c r="B84">
        <v>76</v>
      </c>
      <c r="C84">
        <v>1</v>
      </c>
      <c r="D84" t="s">
        <v>272</v>
      </c>
      <c r="E84">
        <v>92150</v>
      </c>
      <c r="F84">
        <v>2266.5966386554619</v>
      </c>
      <c r="G84">
        <v>36</v>
      </c>
      <c r="H84" s="2">
        <v>42607</v>
      </c>
      <c r="I84">
        <v>76</v>
      </c>
      <c r="J84" t="s">
        <v>273</v>
      </c>
      <c r="K84" t="s">
        <v>274</v>
      </c>
      <c r="L84" t="s">
        <v>88</v>
      </c>
      <c r="M84" t="s">
        <v>89</v>
      </c>
      <c r="N84" t="s">
        <v>90</v>
      </c>
      <c r="O84" t="s">
        <v>91</v>
      </c>
      <c r="P84">
        <v>32</v>
      </c>
      <c r="Q84">
        <v>73720</v>
      </c>
      <c r="R84">
        <v>2175</v>
      </c>
      <c r="S84">
        <v>225</v>
      </c>
      <c r="T84">
        <v>750</v>
      </c>
      <c r="U84">
        <v>92150</v>
      </c>
      <c r="V84">
        <v>76870</v>
      </c>
      <c r="W84">
        <v>0.19877715623780401</v>
      </c>
      <c r="X84">
        <v>15280</v>
      </c>
      <c r="Y84" t="s">
        <v>44</v>
      </c>
      <c r="Z84" s="2">
        <v>42604</v>
      </c>
      <c r="AA84">
        <v>5</v>
      </c>
      <c r="AB84" t="s">
        <v>97</v>
      </c>
      <c r="AC84" t="s">
        <v>98</v>
      </c>
      <c r="AD84" t="s">
        <v>71</v>
      </c>
      <c r="AE84" t="str">
        <f t="shared" si="1"/>
        <v>Thursday</v>
      </c>
      <c r="AF84" s="12">
        <f>Table1[[#This Row],[Total Cost]]+Table1[[#This Row],[PROFIT]]</f>
        <v>92150</v>
      </c>
    </row>
    <row r="85" spans="1:32" x14ac:dyDescent="0.3">
      <c r="A85">
        <v>84</v>
      </c>
      <c r="B85">
        <v>77</v>
      </c>
      <c r="C85">
        <v>1</v>
      </c>
      <c r="D85" t="s">
        <v>275</v>
      </c>
      <c r="E85">
        <v>9500</v>
      </c>
      <c r="F85">
        <v>2266.5966386554619</v>
      </c>
      <c r="G85">
        <v>37</v>
      </c>
      <c r="H85" s="2">
        <v>42610</v>
      </c>
      <c r="I85">
        <v>77</v>
      </c>
      <c r="J85" t="s">
        <v>273</v>
      </c>
      <c r="K85" t="s">
        <v>276</v>
      </c>
      <c r="L85" t="s">
        <v>95</v>
      </c>
      <c r="M85" t="s">
        <v>34</v>
      </c>
      <c r="N85" t="s">
        <v>35</v>
      </c>
      <c r="O85" t="s">
        <v>36</v>
      </c>
      <c r="P85">
        <v>15</v>
      </c>
      <c r="Q85">
        <v>7600</v>
      </c>
      <c r="R85">
        <v>500</v>
      </c>
      <c r="S85">
        <v>750</v>
      </c>
      <c r="T85">
        <v>150</v>
      </c>
      <c r="U85">
        <v>9500</v>
      </c>
      <c r="V85">
        <v>9000</v>
      </c>
      <c r="W85">
        <v>5.555555555555558E-2</v>
      </c>
      <c r="X85">
        <v>500</v>
      </c>
      <c r="Y85" t="s">
        <v>73</v>
      </c>
      <c r="Z85" s="2">
        <v>42607</v>
      </c>
      <c r="AA85">
        <v>2</v>
      </c>
      <c r="AB85" t="s">
        <v>229</v>
      </c>
      <c r="AC85" t="s">
        <v>51</v>
      </c>
      <c r="AD85" t="s">
        <v>52</v>
      </c>
      <c r="AE85" t="str">
        <f t="shared" si="1"/>
        <v>Sunday</v>
      </c>
      <c r="AF85" s="12">
        <f>Table1[[#This Row],[Total Cost]]+Table1[[#This Row],[PROFIT]]</f>
        <v>9500</v>
      </c>
    </row>
    <row r="86" spans="1:32" x14ac:dyDescent="0.3">
      <c r="A86">
        <v>85</v>
      </c>
      <c r="B86">
        <v>78</v>
      </c>
      <c r="C86">
        <v>1</v>
      </c>
      <c r="D86" t="s">
        <v>277</v>
      </c>
      <c r="E86">
        <v>9950</v>
      </c>
      <c r="F86">
        <v>2266.5966386554619</v>
      </c>
      <c r="G86">
        <v>33</v>
      </c>
      <c r="H86" s="2">
        <v>42610</v>
      </c>
      <c r="I86">
        <v>78</v>
      </c>
      <c r="J86" t="s">
        <v>237</v>
      </c>
      <c r="K86" t="s">
        <v>238</v>
      </c>
      <c r="L86" t="s">
        <v>239</v>
      </c>
      <c r="M86" t="s">
        <v>240</v>
      </c>
      <c r="N86" t="s">
        <v>241</v>
      </c>
      <c r="O86" t="s">
        <v>36</v>
      </c>
      <c r="P86">
        <v>88</v>
      </c>
      <c r="Q86">
        <v>7960</v>
      </c>
      <c r="R86">
        <v>500</v>
      </c>
      <c r="S86">
        <v>225</v>
      </c>
      <c r="T86">
        <v>150</v>
      </c>
      <c r="U86">
        <v>9950</v>
      </c>
      <c r="V86">
        <v>8835</v>
      </c>
      <c r="W86">
        <v>0.12620260328239949</v>
      </c>
      <c r="X86">
        <v>1115</v>
      </c>
      <c r="Y86" t="s">
        <v>44</v>
      </c>
      <c r="Z86" s="2">
        <v>42607</v>
      </c>
      <c r="AA86">
        <v>21</v>
      </c>
      <c r="AB86" t="s">
        <v>247</v>
      </c>
      <c r="AC86" t="s">
        <v>134</v>
      </c>
      <c r="AD86" t="s">
        <v>71</v>
      </c>
      <c r="AE86" t="str">
        <f t="shared" si="1"/>
        <v>Sunday</v>
      </c>
      <c r="AF86" s="12">
        <f>Table1[[#This Row],[Total Cost]]+Table1[[#This Row],[PROFIT]]</f>
        <v>9950</v>
      </c>
    </row>
    <row r="87" spans="1:32" x14ac:dyDescent="0.3">
      <c r="A87">
        <v>86</v>
      </c>
      <c r="B87">
        <v>79</v>
      </c>
      <c r="C87">
        <v>1</v>
      </c>
      <c r="D87" t="s">
        <v>278</v>
      </c>
      <c r="E87">
        <v>5680</v>
      </c>
      <c r="F87">
        <v>500</v>
      </c>
      <c r="G87">
        <v>25</v>
      </c>
      <c r="H87" s="2">
        <v>42611</v>
      </c>
      <c r="I87">
        <v>79</v>
      </c>
      <c r="J87" t="s">
        <v>188</v>
      </c>
      <c r="K87" t="s">
        <v>189</v>
      </c>
      <c r="L87" t="s">
        <v>190</v>
      </c>
      <c r="M87" t="s">
        <v>34</v>
      </c>
      <c r="N87" t="s">
        <v>35</v>
      </c>
      <c r="O87" t="s">
        <v>36</v>
      </c>
      <c r="P87">
        <v>87</v>
      </c>
      <c r="Q87">
        <v>4544</v>
      </c>
      <c r="R87">
        <v>500</v>
      </c>
      <c r="S87">
        <v>150</v>
      </c>
      <c r="T87">
        <v>150</v>
      </c>
      <c r="U87">
        <v>5680</v>
      </c>
      <c r="V87">
        <v>5344</v>
      </c>
      <c r="W87">
        <v>6.2874251497005984E-2</v>
      </c>
      <c r="X87">
        <v>336</v>
      </c>
      <c r="Y87" t="s">
        <v>79</v>
      </c>
      <c r="Z87" s="2">
        <v>42608</v>
      </c>
      <c r="AA87">
        <v>21</v>
      </c>
      <c r="AB87" t="s">
        <v>138</v>
      </c>
      <c r="AC87" t="s">
        <v>134</v>
      </c>
      <c r="AD87" t="s">
        <v>71</v>
      </c>
      <c r="AE87" t="str">
        <f t="shared" si="1"/>
        <v>Monday</v>
      </c>
      <c r="AF87" s="12">
        <f>Table1[[#This Row],[Total Cost]]+Table1[[#This Row],[PROFIT]]</f>
        <v>5680</v>
      </c>
    </row>
    <row r="88" spans="1:32" x14ac:dyDescent="0.3">
      <c r="A88">
        <v>87</v>
      </c>
      <c r="B88">
        <v>80</v>
      </c>
      <c r="C88">
        <v>1</v>
      </c>
      <c r="D88" t="s">
        <v>279</v>
      </c>
      <c r="E88">
        <v>19500</v>
      </c>
      <c r="F88">
        <v>2266.5966386554619</v>
      </c>
      <c r="G88">
        <v>24</v>
      </c>
      <c r="H88" s="2">
        <v>42612</v>
      </c>
      <c r="I88">
        <v>80</v>
      </c>
      <c r="J88" t="s">
        <v>183</v>
      </c>
      <c r="K88" t="s">
        <v>184</v>
      </c>
      <c r="L88" t="s">
        <v>185</v>
      </c>
      <c r="M88" t="s">
        <v>154</v>
      </c>
      <c r="N88" t="s">
        <v>155</v>
      </c>
      <c r="O88" t="s">
        <v>36</v>
      </c>
      <c r="P88">
        <v>89</v>
      </c>
      <c r="Q88">
        <v>15600</v>
      </c>
      <c r="R88">
        <v>2000</v>
      </c>
      <c r="S88">
        <v>750</v>
      </c>
      <c r="T88">
        <v>150</v>
      </c>
      <c r="U88">
        <v>19500</v>
      </c>
      <c r="V88">
        <v>18500</v>
      </c>
      <c r="W88">
        <v>5.4054054054053953E-2</v>
      </c>
      <c r="X88">
        <v>1000</v>
      </c>
      <c r="Y88" t="s">
        <v>73</v>
      </c>
      <c r="Z88" s="2">
        <v>42610</v>
      </c>
      <c r="AA88">
        <v>21</v>
      </c>
      <c r="AB88" t="s">
        <v>280</v>
      </c>
      <c r="AC88" t="s">
        <v>134</v>
      </c>
      <c r="AD88" t="s">
        <v>71</v>
      </c>
      <c r="AE88" t="str">
        <f t="shared" si="1"/>
        <v>Tuesday</v>
      </c>
      <c r="AF88" s="12">
        <f>Table1[[#This Row],[Total Cost]]+Table1[[#This Row],[PROFIT]]</f>
        <v>19500</v>
      </c>
    </row>
    <row r="89" spans="1:32" x14ac:dyDescent="0.3">
      <c r="A89">
        <v>88</v>
      </c>
      <c r="B89">
        <v>81</v>
      </c>
      <c r="C89">
        <v>1</v>
      </c>
      <c r="D89" t="s">
        <v>281</v>
      </c>
      <c r="E89">
        <v>3500</v>
      </c>
      <c r="F89">
        <v>2266.5966386554619</v>
      </c>
      <c r="G89">
        <v>15</v>
      </c>
      <c r="H89" s="2">
        <v>42617</v>
      </c>
      <c r="I89">
        <v>81</v>
      </c>
      <c r="J89" t="s">
        <v>119</v>
      </c>
      <c r="K89" t="s">
        <v>120</v>
      </c>
      <c r="L89" t="s">
        <v>95</v>
      </c>
      <c r="M89" t="s">
        <v>34</v>
      </c>
      <c r="N89" t="s">
        <v>35</v>
      </c>
      <c r="O89" t="s">
        <v>36</v>
      </c>
      <c r="P89">
        <v>90</v>
      </c>
      <c r="Q89">
        <v>2800</v>
      </c>
      <c r="R89">
        <v>500</v>
      </c>
      <c r="S89">
        <v>750</v>
      </c>
      <c r="T89">
        <v>150</v>
      </c>
      <c r="U89">
        <v>3500</v>
      </c>
      <c r="V89">
        <v>4200</v>
      </c>
      <c r="W89">
        <v>-0.1666666666666666</v>
      </c>
      <c r="X89">
        <v>-700</v>
      </c>
      <c r="Y89" t="s">
        <v>73</v>
      </c>
      <c r="Z89" s="2">
        <v>42614</v>
      </c>
      <c r="AA89">
        <v>21</v>
      </c>
      <c r="AB89" t="s">
        <v>282</v>
      </c>
      <c r="AC89" t="s">
        <v>134</v>
      </c>
      <c r="AD89" t="s">
        <v>71</v>
      </c>
      <c r="AE89" t="str">
        <f t="shared" si="1"/>
        <v>Sunday</v>
      </c>
      <c r="AF89" s="12">
        <f>Table1[[#This Row],[Total Cost]]+Table1[[#This Row],[PROFIT]]</f>
        <v>3500</v>
      </c>
    </row>
    <row r="90" spans="1:32" x14ac:dyDescent="0.3">
      <c r="A90">
        <v>89</v>
      </c>
      <c r="B90">
        <v>82</v>
      </c>
      <c r="C90">
        <v>1</v>
      </c>
      <c r="D90" t="s">
        <v>283</v>
      </c>
      <c r="E90">
        <v>3950</v>
      </c>
      <c r="F90">
        <v>2266.5966386554619</v>
      </c>
      <c r="G90">
        <v>6</v>
      </c>
      <c r="H90" s="2">
        <v>42617</v>
      </c>
      <c r="I90">
        <v>82</v>
      </c>
      <c r="J90" t="s">
        <v>151</v>
      </c>
      <c r="K90" t="s">
        <v>152</v>
      </c>
      <c r="L90" t="s">
        <v>153</v>
      </c>
      <c r="M90" t="s">
        <v>154</v>
      </c>
      <c r="N90" t="s">
        <v>155</v>
      </c>
      <c r="O90" t="s">
        <v>36</v>
      </c>
      <c r="P90">
        <v>89</v>
      </c>
      <c r="Q90">
        <v>3160</v>
      </c>
      <c r="R90">
        <v>500</v>
      </c>
      <c r="S90">
        <v>150</v>
      </c>
      <c r="T90">
        <v>150</v>
      </c>
      <c r="U90">
        <v>3950</v>
      </c>
      <c r="V90">
        <v>3960</v>
      </c>
      <c r="W90">
        <v>-2.525252525252486E-3</v>
      </c>
      <c r="X90">
        <v>-10</v>
      </c>
      <c r="Y90" t="s">
        <v>73</v>
      </c>
      <c r="Z90" s="2">
        <v>42614</v>
      </c>
      <c r="AA90">
        <v>21</v>
      </c>
      <c r="AB90" t="s">
        <v>280</v>
      </c>
      <c r="AC90" t="s">
        <v>134</v>
      </c>
      <c r="AD90" t="s">
        <v>71</v>
      </c>
      <c r="AE90" t="str">
        <f t="shared" si="1"/>
        <v>Sunday</v>
      </c>
      <c r="AF90" s="12">
        <f>Table1[[#This Row],[Total Cost]]+Table1[[#This Row],[PROFIT]]</f>
        <v>3950</v>
      </c>
    </row>
    <row r="91" spans="1:32" x14ac:dyDescent="0.3">
      <c r="A91">
        <v>90</v>
      </c>
      <c r="B91">
        <v>83</v>
      </c>
      <c r="C91">
        <v>1</v>
      </c>
      <c r="D91" t="s">
        <v>284</v>
      </c>
      <c r="E91">
        <v>20950</v>
      </c>
      <c r="F91">
        <v>750</v>
      </c>
      <c r="G91">
        <v>19</v>
      </c>
      <c r="H91" s="2">
        <v>42617</v>
      </c>
      <c r="I91">
        <v>83</v>
      </c>
      <c r="J91" t="s">
        <v>140</v>
      </c>
      <c r="K91" t="s">
        <v>141</v>
      </c>
      <c r="L91" t="s">
        <v>142</v>
      </c>
      <c r="M91" t="s">
        <v>34</v>
      </c>
      <c r="N91" t="s">
        <v>35</v>
      </c>
      <c r="O91" t="s">
        <v>36</v>
      </c>
      <c r="P91">
        <v>11</v>
      </c>
      <c r="Q91">
        <v>16760</v>
      </c>
      <c r="R91">
        <v>1360</v>
      </c>
      <c r="S91">
        <v>750</v>
      </c>
      <c r="T91">
        <v>150</v>
      </c>
      <c r="U91">
        <v>20950</v>
      </c>
      <c r="V91">
        <v>19020</v>
      </c>
      <c r="W91">
        <v>0.10147213459516299</v>
      </c>
      <c r="X91">
        <v>1930</v>
      </c>
      <c r="Y91" t="s">
        <v>49</v>
      </c>
      <c r="Z91" s="2">
        <v>42616</v>
      </c>
      <c r="AA91">
        <v>2</v>
      </c>
      <c r="AB91" t="s">
        <v>50</v>
      </c>
      <c r="AC91" t="s">
        <v>51</v>
      </c>
      <c r="AD91" t="s">
        <v>52</v>
      </c>
      <c r="AE91" t="str">
        <f t="shared" si="1"/>
        <v>Sunday</v>
      </c>
      <c r="AF91" s="12">
        <f>Table1[[#This Row],[Total Cost]]+Table1[[#This Row],[PROFIT]]</f>
        <v>20950</v>
      </c>
    </row>
    <row r="92" spans="1:32" x14ac:dyDescent="0.3">
      <c r="A92">
        <v>91</v>
      </c>
      <c r="B92">
        <v>84</v>
      </c>
      <c r="C92">
        <v>1</v>
      </c>
      <c r="D92" t="s">
        <v>285</v>
      </c>
      <c r="E92">
        <v>7500</v>
      </c>
      <c r="F92">
        <v>75</v>
      </c>
      <c r="G92">
        <v>3</v>
      </c>
      <c r="H92" s="2">
        <v>42619</v>
      </c>
      <c r="I92">
        <v>84</v>
      </c>
      <c r="J92" t="s">
        <v>47</v>
      </c>
      <c r="K92" t="s">
        <v>48</v>
      </c>
      <c r="L92" t="s">
        <v>33</v>
      </c>
      <c r="M92" t="s">
        <v>34</v>
      </c>
      <c r="N92" t="s">
        <v>35</v>
      </c>
      <c r="O92" t="s">
        <v>36</v>
      </c>
      <c r="P92">
        <v>13</v>
      </c>
      <c r="Q92">
        <v>6000</v>
      </c>
      <c r="R92">
        <v>500</v>
      </c>
      <c r="S92">
        <v>750</v>
      </c>
      <c r="T92">
        <v>150</v>
      </c>
      <c r="U92">
        <v>7500</v>
      </c>
      <c r="V92">
        <v>7400</v>
      </c>
      <c r="W92">
        <v>1.3513513513513599E-2</v>
      </c>
      <c r="X92">
        <v>100</v>
      </c>
      <c r="Y92" t="s">
        <v>49</v>
      </c>
      <c r="Z92" s="2">
        <v>42618</v>
      </c>
      <c r="AA92">
        <v>2</v>
      </c>
      <c r="AB92" t="s">
        <v>66</v>
      </c>
      <c r="AC92" t="s">
        <v>51</v>
      </c>
      <c r="AD92" t="s">
        <v>52</v>
      </c>
      <c r="AE92" t="str">
        <f t="shared" si="1"/>
        <v>Tuesday</v>
      </c>
      <c r="AF92" s="12">
        <f>Table1[[#This Row],[Total Cost]]+Table1[[#This Row],[PROFIT]]</f>
        <v>7500</v>
      </c>
    </row>
    <row r="93" spans="1:32" x14ac:dyDescent="0.3">
      <c r="A93">
        <v>92</v>
      </c>
      <c r="B93">
        <v>85</v>
      </c>
      <c r="C93">
        <v>1</v>
      </c>
      <c r="D93" t="s">
        <v>286</v>
      </c>
      <c r="E93">
        <v>56500</v>
      </c>
      <c r="F93">
        <v>1500</v>
      </c>
      <c r="G93">
        <v>2</v>
      </c>
      <c r="H93" s="2">
        <v>42620</v>
      </c>
      <c r="I93">
        <v>85</v>
      </c>
      <c r="J93" t="s">
        <v>42</v>
      </c>
      <c r="K93" t="s">
        <v>43</v>
      </c>
      <c r="L93" t="s">
        <v>33</v>
      </c>
      <c r="M93" t="s">
        <v>34</v>
      </c>
      <c r="N93" t="s">
        <v>35</v>
      </c>
      <c r="O93" t="s">
        <v>36</v>
      </c>
      <c r="P93">
        <v>26</v>
      </c>
      <c r="Q93">
        <v>45200</v>
      </c>
      <c r="R93">
        <v>500</v>
      </c>
      <c r="S93">
        <v>1500</v>
      </c>
      <c r="T93">
        <v>550</v>
      </c>
      <c r="U93">
        <v>56500</v>
      </c>
      <c r="V93">
        <v>47750</v>
      </c>
      <c r="W93">
        <v>0.18324607329842929</v>
      </c>
      <c r="X93">
        <v>8750</v>
      </c>
      <c r="Y93" t="s">
        <v>244</v>
      </c>
      <c r="Z93" s="2">
        <v>42618</v>
      </c>
      <c r="AA93">
        <v>4</v>
      </c>
      <c r="AB93" t="s">
        <v>147</v>
      </c>
      <c r="AC93" t="s">
        <v>70</v>
      </c>
      <c r="AD93" t="s">
        <v>71</v>
      </c>
      <c r="AE93" t="str">
        <f t="shared" si="1"/>
        <v>Wednesday</v>
      </c>
      <c r="AF93" s="12">
        <f>Table1[[#This Row],[Total Cost]]+Table1[[#This Row],[PROFIT]]</f>
        <v>56500</v>
      </c>
    </row>
    <row r="94" spans="1:32" x14ac:dyDescent="0.3">
      <c r="A94">
        <v>93</v>
      </c>
      <c r="B94">
        <v>86</v>
      </c>
      <c r="C94">
        <v>1</v>
      </c>
      <c r="D94" t="s">
        <v>287</v>
      </c>
      <c r="E94">
        <v>49500</v>
      </c>
      <c r="F94">
        <v>750</v>
      </c>
      <c r="G94">
        <v>22</v>
      </c>
      <c r="H94" s="2">
        <v>42620</v>
      </c>
      <c r="I94">
        <v>86</v>
      </c>
      <c r="J94" t="s">
        <v>171</v>
      </c>
      <c r="K94" t="s">
        <v>172</v>
      </c>
      <c r="L94" t="s">
        <v>142</v>
      </c>
      <c r="M94" t="s">
        <v>34</v>
      </c>
      <c r="N94" t="s">
        <v>35</v>
      </c>
      <c r="O94" t="s">
        <v>36</v>
      </c>
      <c r="P94">
        <v>27</v>
      </c>
      <c r="Q94">
        <v>39600</v>
      </c>
      <c r="R94">
        <v>660</v>
      </c>
      <c r="S94">
        <v>500</v>
      </c>
      <c r="T94">
        <v>550</v>
      </c>
      <c r="U94">
        <v>49500</v>
      </c>
      <c r="V94">
        <v>41310</v>
      </c>
      <c r="W94">
        <v>0.1982570806100219</v>
      </c>
      <c r="X94">
        <v>8190</v>
      </c>
      <c r="Y94" t="s">
        <v>49</v>
      </c>
      <c r="Z94" s="2">
        <v>42619</v>
      </c>
      <c r="AA94">
        <v>4</v>
      </c>
      <c r="AB94" t="s">
        <v>268</v>
      </c>
      <c r="AC94" t="s">
        <v>70</v>
      </c>
      <c r="AD94" t="s">
        <v>71</v>
      </c>
      <c r="AE94" t="str">
        <f t="shared" si="1"/>
        <v>Wednesday</v>
      </c>
      <c r="AF94" s="12">
        <f>Table1[[#This Row],[Total Cost]]+Table1[[#This Row],[PROFIT]]</f>
        <v>49500</v>
      </c>
    </row>
    <row r="95" spans="1:32" x14ac:dyDescent="0.3">
      <c r="A95">
        <v>94</v>
      </c>
      <c r="B95">
        <v>87</v>
      </c>
      <c r="C95">
        <v>1</v>
      </c>
      <c r="D95" t="s">
        <v>288</v>
      </c>
      <c r="E95">
        <v>68900</v>
      </c>
      <c r="F95">
        <v>2266.5966386554619</v>
      </c>
      <c r="G95">
        <v>32</v>
      </c>
      <c r="H95" s="2">
        <v>42624</v>
      </c>
      <c r="I95">
        <v>87</v>
      </c>
      <c r="J95" t="s">
        <v>231</v>
      </c>
      <c r="K95" t="s">
        <v>232</v>
      </c>
      <c r="L95" t="s">
        <v>233</v>
      </c>
      <c r="M95" t="s">
        <v>234</v>
      </c>
      <c r="N95" t="s">
        <v>235</v>
      </c>
      <c r="O95" t="s">
        <v>36</v>
      </c>
      <c r="P95">
        <v>11</v>
      </c>
      <c r="Q95">
        <v>55120</v>
      </c>
      <c r="R95">
        <v>500</v>
      </c>
      <c r="S95">
        <v>750</v>
      </c>
      <c r="T95">
        <v>750</v>
      </c>
      <c r="U95">
        <v>68900</v>
      </c>
      <c r="V95">
        <v>57120</v>
      </c>
      <c r="W95">
        <v>0.20623249299719881</v>
      </c>
      <c r="X95">
        <v>11780</v>
      </c>
      <c r="Y95" t="s">
        <v>244</v>
      </c>
      <c r="Z95" s="2">
        <v>42622</v>
      </c>
      <c r="AA95">
        <v>2</v>
      </c>
      <c r="AB95" t="s">
        <v>50</v>
      </c>
      <c r="AC95" t="s">
        <v>51</v>
      </c>
      <c r="AD95" t="s">
        <v>52</v>
      </c>
      <c r="AE95" t="str">
        <f t="shared" si="1"/>
        <v>Sunday</v>
      </c>
      <c r="AF95" s="12">
        <f>Table1[[#This Row],[Total Cost]]+Table1[[#This Row],[PROFIT]]</f>
        <v>68900</v>
      </c>
    </row>
    <row r="96" spans="1:32" x14ac:dyDescent="0.3">
      <c r="A96">
        <v>95</v>
      </c>
      <c r="B96">
        <v>88</v>
      </c>
      <c r="C96">
        <v>1</v>
      </c>
      <c r="D96" t="s">
        <v>289</v>
      </c>
      <c r="E96">
        <v>55000</v>
      </c>
      <c r="F96">
        <v>2266.5966386554619</v>
      </c>
      <c r="G96">
        <v>1</v>
      </c>
      <c r="H96" s="2">
        <v>42624</v>
      </c>
      <c r="I96">
        <v>88</v>
      </c>
      <c r="J96" t="s">
        <v>31</v>
      </c>
      <c r="K96" t="s">
        <v>32</v>
      </c>
      <c r="L96" t="s">
        <v>33</v>
      </c>
      <c r="M96" t="s">
        <v>34</v>
      </c>
      <c r="N96" t="s">
        <v>35</v>
      </c>
      <c r="O96" t="s">
        <v>36</v>
      </c>
      <c r="P96">
        <v>28</v>
      </c>
      <c r="Q96">
        <v>44000</v>
      </c>
      <c r="R96">
        <v>500</v>
      </c>
      <c r="S96">
        <v>150</v>
      </c>
      <c r="T96">
        <v>550</v>
      </c>
      <c r="U96">
        <v>55000</v>
      </c>
      <c r="V96">
        <v>45200</v>
      </c>
      <c r="W96">
        <v>0.2168141592920354</v>
      </c>
      <c r="X96">
        <v>9800</v>
      </c>
      <c r="Y96" t="s">
        <v>126</v>
      </c>
      <c r="Z96" s="2">
        <v>42623</v>
      </c>
      <c r="AA96">
        <v>4</v>
      </c>
      <c r="AB96" t="s">
        <v>251</v>
      </c>
      <c r="AC96" t="s">
        <v>70</v>
      </c>
      <c r="AD96" t="s">
        <v>71</v>
      </c>
      <c r="AE96" t="str">
        <f t="shared" si="1"/>
        <v>Sunday</v>
      </c>
      <c r="AF96" s="12">
        <f>Table1[[#This Row],[Total Cost]]+Table1[[#This Row],[PROFIT]]</f>
        <v>55000</v>
      </c>
    </row>
    <row r="97" spans="1:32" x14ac:dyDescent="0.3">
      <c r="A97">
        <v>96</v>
      </c>
      <c r="B97">
        <v>89</v>
      </c>
      <c r="C97">
        <v>1</v>
      </c>
      <c r="D97" t="s">
        <v>290</v>
      </c>
      <c r="E97">
        <v>3575</v>
      </c>
      <c r="F97">
        <v>2266.5966386554619</v>
      </c>
      <c r="G97">
        <v>8</v>
      </c>
      <c r="H97" s="2">
        <v>42627</v>
      </c>
      <c r="I97">
        <v>89</v>
      </c>
      <c r="J97" t="s">
        <v>82</v>
      </c>
      <c r="K97" t="s">
        <v>83</v>
      </c>
      <c r="L97" t="s">
        <v>84</v>
      </c>
      <c r="M97" t="s">
        <v>64</v>
      </c>
      <c r="N97" t="s">
        <v>65</v>
      </c>
      <c r="O97" t="s">
        <v>36</v>
      </c>
      <c r="P97">
        <v>73</v>
      </c>
      <c r="Q97">
        <v>2860</v>
      </c>
      <c r="R97">
        <v>500</v>
      </c>
      <c r="S97">
        <v>750</v>
      </c>
      <c r="T97">
        <v>150</v>
      </c>
      <c r="U97">
        <v>3575</v>
      </c>
      <c r="V97">
        <v>4260</v>
      </c>
      <c r="W97">
        <v>-0.16079812206572769</v>
      </c>
      <c r="X97">
        <v>-685</v>
      </c>
      <c r="Y97" t="s">
        <v>126</v>
      </c>
      <c r="Z97" s="2">
        <v>42624</v>
      </c>
      <c r="AA97">
        <v>16</v>
      </c>
      <c r="AB97" t="s">
        <v>291</v>
      </c>
      <c r="AC97" t="s">
        <v>122</v>
      </c>
      <c r="AD97" t="s">
        <v>71</v>
      </c>
      <c r="AE97" t="str">
        <f t="shared" si="1"/>
        <v>Wednesday</v>
      </c>
      <c r="AF97" s="12">
        <f>Table1[[#This Row],[Total Cost]]+Table1[[#This Row],[PROFIT]]</f>
        <v>3575</v>
      </c>
    </row>
    <row r="98" spans="1:32" x14ac:dyDescent="0.3">
      <c r="A98">
        <v>97</v>
      </c>
      <c r="B98">
        <v>90</v>
      </c>
      <c r="C98">
        <v>1</v>
      </c>
      <c r="D98" t="s">
        <v>292</v>
      </c>
      <c r="E98">
        <v>35250</v>
      </c>
      <c r="F98">
        <v>2266.5966386554619</v>
      </c>
      <c r="G98">
        <v>12</v>
      </c>
      <c r="H98" s="2">
        <v>42627</v>
      </c>
      <c r="I98">
        <v>90</v>
      </c>
      <c r="J98" t="s">
        <v>105</v>
      </c>
      <c r="K98" t="s">
        <v>106</v>
      </c>
      <c r="L98" t="s">
        <v>95</v>
      </c>
      <c r="M98" t="s">
        <v>34</v>
      </c>
      <c r="N98" t="s">
        <v>35</v>
      </c>
      <c r="O98" t="s">
        <v>36</v>
      </c>
      <c r="P98">
        <v>73</v>
      </c>
      <c r="Q98">
        <v>28200</v>
      </c>
      <c r="R98">
        <v>500</v>
      </c>
      <c r="S98">
        <v>750</v>
      </c>
      <c r="T98">
        <v>550</v>
      </c>
      <c r="U98">
        <v>35250</v>
      </c>
      <c r="V98">
        <v>30000</v>
      </c>
      <c r="W98">
        <v>0.17499999999999999</v>
      </c>
      <c r="X98">
        <v>5250</v>
      </c>
      <c r="Y98" t="s">
        <v>49</v>
      </c>
      <c r="Z98" s="2">
        <v>42624</v>
      </c>
      <c r="AA98">
        <v>16</v>
      </c>
      <c r="AB98" t="s">
        <v>291</v>
      </c>
      <c r="AC98" t="s">
        <v>122</v>
      </c>
      <c r="AD98" t="s">
        <v>71</v>
      </c>
      <c r="AE98" t="str">
        <f t="shared" si="1"/>
        <v>Wednesday</v>
      </c>
      <c r="AF98" s="12">
        <f>Table1[[#This Row],[Total Cost]]+Table1[[#This Row],[PROFIT]]</f>
        <v>35250</v>
      </c>
    </row>
    <row r="99" spans="1:32" x14ac:dyDescent="0.3">
      <c r="A99">
        <v>98</v>
      </c>
      <c r="B99">
        <v>91</v>
      </c>
      <c r="C99">
        <v>1</v>
      </c>
      <c r="D99" t="s">
        <v>293</v>
      </c>
      <c r="E99">
        <v>19600</v>
      </c>
      <c r="F99">
        <v>1250</v>
      </c>
      <c r="G99">
        <v>13</v>
      </c>
      <c r="H99" s="2">
        <v>42629</v>
      </c>
      <c r="I99">
        <v>91</v>
      </c>
      <c r="J99" t="s">
        <v>108</v>
      </c>
      <c r="K99" t="s">
        <v>109</v>
      </c>
      <c r="L99" t="s">
        <v>110</v>
      </c>
      <c r="M99" t="s">
        <v>64</v>
      </c>
      <c r="N99" t="s">
        <v>65</v>
      </c>
      <c r="O99" t="s">
        <v>36</v>
      </c>
      <c r="P99">
        <v>74</v>
      </c>
      <c r="Q99">
        <v>15680</v>
      </c>
      <c r="R99">
        <v>1360</v>
      </c>
      <c r="S99">
        <v>150</v>
      </c>
      <c r="T99">
        <v>150</v>
      </c>
      <c r="U99">
        <v>47490</v>
      </c>
      <c r="V99">
        <v>17340</v>
      </c>
      <c r="W99">
        <v>1.738754325259515</v>
      </c>
      <c r="X99">
        <v>30150</v>
      </c>
      <c r="Y99" t="s">
        <v>68</v>
      </c>
      <c r="Z99" s="2">
        <v>42628</v>
      </c>
      <c r="AA99">
        <v>16</v>
      </c>
      <c r="AB99" t="s">
        <v>144</v>
      </c>
      <c r="AC99" t="s">
        <v>122</v>
      </c>
      <c r="AD99" t="s">
        <v>71</v>
      </c>
      <c r="AE99" t="str">
        <f t="shared" si="1"/>
        <v>Friday</v>
      </c>
      <c r="AF99" s="12">
        <f>Table1[[#This Row],[Total Cost]]+Table1[[#This Row],[PROFIT]]</f>
        <v>47490</v>
      </c>
    </row>
    <row r="100" spans="1:32" x14ac:dyDescent="0.3">
      <c r="A100">
        <v>99</v>
      </c>
      <c r="B100">
        <v>91</v>
      </c>
      <c r="C100">
        <v>2</v>
      </c>
      <c r="D100" t="s">
        <v>294</v>
      </c>
      <c r="E100">
        <v>27890</v>
      </c>
      <c r="F100">
        <v>2266.5966386554619</v>
      </c>
      <c r="G100">
        <v>13</v>
      </c>
      <c r="H100" s="2">
        <v>42629</v>
      </c>
      <c r="I100">
        <v>91</v>
      </c>
      <c r="J100" t="s">
        <v>108</v>
      </c>
      <c r="K100" t="s">
        <v>109</v>
      </c>
      <c r="L100" t="s">
        <v>110</v>
      </c>
      <c r="M100" t="s">
        <v>64</v>
      </c>
      <c r="N100" t="s">
        <v>65</v>
      </c>
      <c r="O100" t="s">
        <v>36</v>
      </c>
      <c r="P100">
        <v>74</v>
      </c>
      <c r="Q100">
        <v>22312</v>
      </c>
      <c r="R100">
        <v>970</v>
      </c>
      <c r="S100">
        <v>500</v>
      </c>
      <c r="T100">
        <v>150</v>
      </c>
      <c r="U100">
        <v>47490</v>
      </c>
      <c r="V100">
        <v>23932</v>
      </c>
      <c r="W100">
        <v>0.98437238843389596</v>
      </c>
      <c r="X100">
        <v>23558</v>
      </c>
      <c r="Y100" t="s">
        <v>73</v>
      </c>
      <c r="Z100" s="2">
        <v>42628</v>
      </c>
      <c r="AA100">
        <v>16</v>
      </c>
      <c r="AB100" t="s">
        <v>144</v>
      </c>
      <c r="AC100" t="s">
        <v>122</v>
      </c>
      <c r="AD100" t="s">
        <v>71</v>
      </c>
      <c r="AE100" t="str">
        <f t="shared" si="1"/>
        <v>Friday</v>
      </c>
      <c r="AF100" s="12">
        <f>Table1[[#This Row],[Total Cost]]+Table1[[#This Row],[PROFIT]]</f>
        <v>47490</v>
      </c>
    </row>
    <row r="101" spans="1:32" x14ac:dyDescent="0.3">
      <c r="A101">
        <v>100</v>
      </c>
      <c r="B101">
        <v>92</v>
      </c>
      <c r="C101">
        <v>1</v>
      </c>
      <c r="D101" t="s">
        <v>295</v>
      </c>
      <c r="E101">
        <v>45950</v>
      </c>
      <c r="F101">
        <v>2266.5966386554619</v>
      </c>
      <c r="G101">
        <v>15</v>
      </c>
      <c r="H101" s="2">
        <v>42629</v>
      </c>
      <c r="I101">
        <v>92</v>
      </c>
      <c r="J101" t="s">
        <v>119</v>
      </c>
      <c r="K101" t="s">
        <v>120</v>
      </c>
      <c r="L101" t="s">
        <v>95</v>
      </c>
      <c r="M101" t="s">
        <v>34</v>
      </c>
      <c r="N101" t="s">
        <v>35</v>
      </c>
      <c r="O101" t="s">
        <v>36</v>
      </c>
      <c r="P101">
        <v>11</v>
      </c>
      <c r="Q101">
        <v>36760</v>
      </c>
      <c r="R101">
        <v>970</v>
      </c>
      <c r="S101">
        <v>750</v>
      </c>
      <c r="T101">
        <v>550</v>
      </c>
      <c r="U101">
        <v>45950</v>
      </c>
      <c r="V101">
        <v>39030</v>
      </c>
      <c r="W101">
        <v>0.17729951319497819</v>
      </c>
      <c r="X101">
        <v>6920</v>
      </c>
      <c r="Y101" t="s">
        <v>68</v>
      </c>
      <c r="Z101" s="2">
        <v>42629</v>
      </c>
      <c r="AA101">
        <v>2</v>
      </c>
      <c r="AB101" t="s">
        <v>50</v>
      </c>
      <c r="AC101" t="s">
        <v>51</v>
      </c>
      <c r="AD101" t="s">
        <v>52</v>
      </c>
      <c r="AE101" t="str">
        <f t="shared" si="1"/>
        <v>Friday</v>
      </c>
      <c r="AF101" s="12">
        <f>Table1[[#This Row],[Total Cost]]+Table1[[#This Row],[PROFIT]]</f>
        <v>45950</v>
      </c>
    </row>
    <row r="102" spans="1:32" x14ac:dyDescent="0.3">
      <c r="A102">
        <v>101</v>
      </c>
      <c r="B102">
        <v>93</v>
      </c>
      <c r="C102">
        <v>1</v>
      </c>
      <c r="D102" t="s">
        <v>296</v>
      </c>
      <c r="E102">
        <v>9950</v>
      </c>
      <c r="F102">
        <v>2266.5966386554619</v>
      </c>
      <c r="G102">
        <v>25</v>
      </c>
      <c r="H102" s="2">
        <v>42631</v>
      </c>
      <c r="I102">
        <v>93</v>
      </c>
      <c r="J102" t="s">
        <v>188</v>
      </c>
      <c r="K102" t="s">
        <v>189</v>
      </c>
      <c r="L102" t="s">
        <v>190</v>
      </c>
      <c r="M102" t="s">
        <v>34</v>
      </c>
      <c r="N102" t="s">
        <v>35</v>
      </c>
      <c r="O102" t="s">
        <v>36</v>
      </c>
      <c r="P102">
        <v>12</v>
      </c>
      <c r="Q102">
        <v>7960</v>
      </c>
      <c r="R102">
        <v>500</v>
      </c>
      <c r="S102">
        <v>150</v>
      </c>
      <c r="T102">
        <v>150</v>
      </c>
      <c r="U102">
        <v>9950</v>
      </c>
      <c r="V102">
        <v>8760</v>
      </c>
      <c r="W102">
        <v>0.13584474885844761</v>
      </c>
      <c r="X102">
        <v>1190</v>
      </c>
      <c r="Y102" t="s">
        <v>73</v>
      </c>
      <c r="Z102" s="2">
        <v>42630</v>
      </c>
      <c r="AA102">
        <v>2</v>
      </c>
      <c r="AB102" t="s">
        <v>59</v>
      </c>
      <c r="AC102" t="s">
        <v>51</v>
      </c>
      <c r="AD102" t="s">
        <v>52</v>
      </c>
      <c r="AE102" t="str">
        <f t="shared" si="1"/>
        <v>Sunday</v>
      </c>
      <c r="AF102" s="12">
        <f>Table1[[#This Row],[Total Cost]]+Table1[[#This Row],[PROFIT]]</f>
        <v>9950</v>
      </c>
    </row>
    <row r="103" spans="1:32" x14ac:dyDescent="0.3">
      <c r="A103">
        <v>102</v>
      </c>
      <c r="B103">
        <v>94</v>
      </c>
      <c r="C103">
        <v>1</v>
      </c>
      <c r="D103" t="s">
        <v>297</v>
      </c>
      <c r="E103">
        <v>6550</v>
      </c>
      <c r="F103">
        <v>750</v>
      </c>
      <c r="G103">
        <v>26</v>
      </c>
      <c r="H103" s="2">
        <v>42632</v>
      </c>
      <c r="I103">
        <v>94</v>
      </c>
      <c r="J103" t="s">
        <v>205</v>
      </c>
      <c r="K103" t="s">
        <v>206</v>
      </c>
      <c r="L103" t="s">
        <v>207</v>
      </c>
      <c r="M103" t="s">
        <v>34</v>
      </c>
      <c r="N103" t="s">
        <v>35</v>
      </c>
      <c r="O103" t="s">
        <v>36</v>
      </c>
      <c r="P103">
        <v>87</v>
      </c>
      <c r="Q103">
        <v>5240</v>
      </c>
      <c r="R103">
        <v>500</v>
      </c>
      <c r="S103">
        <v>750</v>
      </c>
      <c r="T103">
        <v>150</v>
      </c>
      <c r="U103">
        <v>163050</v>
      </c>
      <c r="V103">
        <v>6640</v>
      </c>
      <c r="W103">
        <v>23.555722891566269</v>
      </c>
      <c r="X103">
        <v>156410</v>
      </c>
      <c r="Y103" t="s">
        <v>73</v>
      </c>
      <c r="Z103" s="2">
        <v>42631</v>
      </c>
      <c r="AA103">
        <v>21</v>
      </c>
      <c r="AB103" t="s">
        <v>138</v>
      </c>
      <c r="AC103" t="s">
        <v>134</v>
      </c>
      <c r="AD103" t="s">
        <v>71</v>
      </c>
      <c r="AE103" t="str">
        <f t="shared" si="1"/>
        <v>Monday</v>
      </c>
      <c r="AF103" s="12">
        <f>Table1[[#This Row],[Total Cost]]+Table1[[#This Row],[PROFIT]]</f>
        <v>163050</v>
      </c>
    </row>
    <row r="104" spans="1:32" x14ac:dyDescent="0.3">
      <c r="A104">
        <v>103</v>
      </c>
      <c r="B104">
        <v>94</v>
      </c>
      <c r="C104">
        <v>2</v>
      </c>
      <c r="D104" t="s">
        <v>298</v>
      </c>
      <c r="E104">
        <v>156500</v>
      </c>
      <c r="F104">
        <v>2266.5966386554619</v>
      </c>
      <c r="G104">
        <v>26</v>
      </c>
      <c r="H104" s="2">
        <v>42632</v>
      </c>
      <c r="I104">
        <v>94</v>
      </c>
      <c r="J104" t="s">
        <v>205</v>
      </c>
      <c r="K104" t="s">
        <v>206</v>
      </c>
      <c r="L104" t="s">
        <v>207</v>
      </c>
      <c r="M104" t="s">
        <v>34</v>
      </c>
      <c r="N104" t="s">
        <v>35</v>
      </c>
      <c r="O104" t="s">
        <v>36</v>
      </c>
      <c r="P104">
        <v>3</v>
      </c>
      <c r="Q104">
        <v>125200</v>
      </c>
      <c r="R104">
        <v>2200</v>
      </c>
      <c r="S104">
        <v>3150</v>
      </c>
      <c r="T104">
        <v>1950</v>
      </c>
      <c r="U104">
        <v>163050</v>
      </c>
      <c r="V104">
        <v>132500</v>
      </c>
      <c r="W104">
        <v>0.23056603773584919</v>
      </c>
      <c r="X104">
        <v>30550</v>
      </c>
      <c r="Y104" t="s">
        <v>49</v>
      </c>
      <c r="Z104" s="2">
        <v>42258</v>
      </c>
      <c r="AA104">
        <v>1</v>
      </c>
      <c r="AB104" t="s">
        <v>45</v>
      </c>
      <c r="AC104" t="s">
        <v>39</v>
      </c>
      <c r="AD104" t="s">
        <v>40</v>
      </c>
      <c r="AE104" t="str">
        <f t="shared" si="1"/>
        <v>Monday</v>
      </c>
      <c r="AF104" s="12">
        <f>Table1[[#This Row],[Total Cost]]+Table1[[#This Row],[PROFIT]]</f>
        <v>163050</v>
      </c>
    </row>
    <row r="105" spans="1:32" x14ac:dyDescent="0.3">
      <c r="A105">
        <v>104</v>
      </c>
      <c r="B105">
        <v>95</v>
      </c>
      <c r="C105">
        <v>1</v>
      </c>
      <c r="D105" t="s">
        <v>299</v>
      </c>
      <c r="E105">
        <v>76500</v>
      </c>
      <c r="F105">
        <v>1500</v>
      </c>
      <c r="G105">
        <v>22</v>
      </c>
      <c r="H105" s="2">
        <v>42648</v>
      </c>
      <c r="I105">
        <v>95</v>
      </c>
      <c r="J105" t="s">
        <v>171</v>
      </c>
      <c r="K105" t="s">
        <v>172</v>
      </c>
      <c r="L105" t="s">
        <v>142</v>
      </c>
      <c r="M105" t="s">
        <v>34</v>
      </c>
      <c r="N105" t="s">
        <v>35</v>
      </c>
      <c r="O105" t="s">
        <v>36</v>
      </c>
      <c r="P105">
        <v>33</v>
      </c>
      <c r="Q105">
        <v>61200</v>
      </c>
      <c r="R105">
        <v>2175</v>
      </c>
      <c r="S105">
        <v>750</v>
      </c>
      <c r="T105">
        <v>750</v>
      </c>
      <c r="U105">
        <v>76500</v>
      </c>
      <c r="V105">
        <v>64875</v>
      </c>
      <c r="W105">
        <v>0.17919075144508681</v>
      </c>
      <c r="X105">
        <v>11625</v>
      </c>
      <c r="Y105" t="s">
        <v>79</v>
      </c>
      <c r="Z105" s="2">
        <v>42644</v>
      </c>
      <c r="AA105">
        <v>5</v>
      </c>
      <c r="AB105" t="s">
        <v>300</v>
      </c>
      <c r="AC105" t="s">
        <v>98</v>
      </c>
      <c r="AD105" t="s">
        <v>71</v>
      </c>
      <c r="AE105" t="str">
        <f t="shared" si="1"/>
        <v>Wednesday</v>
      </c>
      <c r="AF105" s="12">
        <f>Table1[[#This Row],[Total Cost]]+Table1[[#This Row],[PROFIT]]</f>
        <v>76500</v>
      </c>
    </row>
    <row r="106" spans="1:32" x14ac:dyDescent="0.3">
      <c r="A106">
        <v>105</v>
      </c>
      <c r="B106">
        <v>96</v>
      </c>
      <c r="C106">
        <v>1</v>
      </c>
      <c r="D106" t="s">
        <v>301</v>
      </c>
      <c r="E106">
        <v>119600</v>
      </c>
      <c r="F106">
        <v>2266.5966386554619</v>
      </c>
      <c r="G106">
        <v>32</v>
      </c>
      <c r="H106" s="2">
        <v>42648.416666666657</v>
      </c>
      <c r="I106">
        <v>96</v>
      </c>
      <c r="J106" t="s">
        <v>231</v>
      </c>
      <c r="K106" t="s">
        <v>232</v>
      </c>
      <c r="L106" t="s">
        <v>233</v>
      </c>
      <c r="M106" t="s">
        <v>234</v>
      </c>
      <c r="N106" t="s">
        <v>235</v>
      </c>
      <c r="O106" t="s">
        <v>36</v>
      </c>
      <c r="P106">
        <v>35</v>
      </c>
      <c r="Q106">
        <v>95680</v>
      </c>
      <c r="R106">
        <v>1490</v>
      </c>
      <c r="S106">
        <v>2200</v>
      </c>
      <c r="T106">
        <v>750</v>
      </c>
      <c r="U106">
        <v>119600</v>
      </c>
      <c r="V106">
        <v>100120</v>
      </c>
      <c r="W106">
        <v>0.1945665201757891</v>
      </c>
      <c r="X106">
        <v>19480</v>
      </c>
      <c r="Y106" t="s">
        <v>103</v>
      </c>
      <c r="Z106" s="2">
        <v>42646</v>
      </c>
      <c r="AA106">
        <v>6</v>
      </c>
      <c r="AB106" t="s">
        <v>302</v>
      </c>
      <c r="AC106" t="s">
        <v>303</v>
      </c>
      <c r="AD106" t="s">
        <v>71</v>
      </c>
      <c r="AE106" t="str">
        <f t="shared" si="1"/>
        <v>Wednesday</v>
      </c>
      <c r="AF106" s="12">
        <f>Table1[[#This Row],[Total Cost]]+Table1[[#This Row],[PROFIT]]</f>
        <v>119600</v>
      </c>
    </row>
    <row r="107" spans="1:32" x14ac:dyDescent="0.3">
      <c r="A107">
        <v>106</v>
      </c>
      <c r="B107">
        <v>97</v>
      </c>
      <c r="C107">
        <v>1</v>
      </c>
      <c r="D107" t="s">
        <v>304</v>
      </c>
      <c r="E107">
        <v>85650</v>
      </c>
      <c r="F107">
        <v>2450</v>
      </c>
      <c r="G107">
        <v>38</v>
      </c>
      <c r="H107" s="2">
        <v>42673</v>
      </c>
      <c r="I107">
        <v>97</v>
      </c>
      <c r="J107" t="s">
        <v>305</v>
      </c>
      <c r="K107" t="s">
        <v>306</v>
      </c>
      <c r="L107" t="s">
        <v>95</v>
      </c>
      <c r="M107" t="s">
        <v>34</v>
      </c>
      <c r="N107" t="s">
        <v>35</v>
      </c>
      <c r="O107" t="s">
        <v>36</v>
      </c>
      <c r="P107">
        <v>33</v>
      </c>
      <c r="Q107">
        <v>68520</v>
      </c>
      <c r="R107">
        <v>2175</v>
      </c>
      <c r="S107">
        <v>750</v>
      </c>
      <c r="T107">
        <v>750</v>
      </c>
      <c r="U107">
        <v>95600</v>
      </c>
      <c r="V107">
        <v>72195</v>
      </c>
      <c r="W107">
        <v>0.32419142599903039</v>
      </c>
      <c r="X107">
        <v>23405</v>
      </c>
      <c r="Y107" t="s">
        <v>126</v>
      </c>
      <c r="Z107" s="2">
        <v>42653</v>
      </c>
      <c r="AA107">
        <v>5</v>
      </c>
      <c r="AB107" t="s">
        <v>300</v>
      </c>
      <c r="AC107" t="s">
        <v>98</v>
      </c>
      <c r="AD107" t="s">
        <v>71</v>
      </c>
      <c r="AE107" t="str">
        <f t="shared" si="1"/>
        <v>Sunday</v>
      </c>
      <c r="AF107" s="12">
        <f>Table1[[#This Row],[Total Cost]]+Table1[[#This Row],[PROFIT]]</f>
        <v>95600</v>
      </c>
    </row>
    <row r="108" spans="1:32" x14ac:dyDescent="0.3">
      <c r="A108">
        <v>107</v>
      </c>
      <c r="B108">
        <v>97</v>
      </c>
      <c r="C108">
        <v>2</v>
      </c>
      <c r="D108" t="s">
        <v>307</v>
      </c>
      <c r="E108">
        <v>9950</v>
      </c>
      <c r="F108">
        <v>2266.5966386554619</v>
      </c>
      <c r="G108">
        <v>38</v>
      </c>
      <c r="H108" s="2">
        <v>42673</v>
      </c>
      <c r="I108">
        <v>97</v>
      </c>
      <c r="J108" t="s">
        <v>305</v>
      </c>
      <c r="K108" t="s">
        <v>306</v>
      </c>
      <c r="L108" t="s">
        <v>95</v>
      </c>
      <c r="M108" t="s">
        <v>34</v>
      </c>
      <c r="N108" t="s">
        <v>35</v>
      </c>
      <c r="O108" t="s">
        <v>36</v>
      </c>
      <c r="P108">
        <v>89</v>
      </c>
      <c r="Q108">
        <v>7960</v>
      </c>
      <c r="R108">
        <v>500</v>
      </c>
      <c r="S108">
        <v>750</v>
      </c>
      <c r="T108">
        <v>150</v>
      </c>
      <c r="U108">
        <v>95600</v>
      </c>
      <c r="V108">
        <v>9360</v>
      </c>
      <c r="W108">
        <v>9.2136752136752129</v>
      </c>
      <c r="X108">
        <v>86240</v>
      </c>
      <c r="Y108" t="s">
        <v>73</v>
      </c>
      <c r="Z108" s="2">
        <v>42672</v>
      </c>
      <c r="AA108">
        <v>21</v>
      </c>
      <c r="AB108" t="s">
        <v>280</v>
      </c>
      <c r="AC108" t="s">
        <v>134</v>
      </c>
      <c r="AD108" t="s">
        <v>71</v>
      </c>
      <c r="AE108" t="str">
        <f t="shared" si="1"/>
        <v>Sunday</v>
      </c>
      <c r="AF108" s="12">
        <f>Table1[[#This Row],[Total Cost]]+Table1[[#This Row],[PROFIT]]</f>
        <v>95600</v>
      </c>
    </row>
    <row r="109" spans="1:32" x14ac:dyDescent="0.3">
      <c r="A109">
        <v>108</v>
      </c>
      <c r="B109">
        <v>98</v>
      </c>
      <c r="C109">
        <v>1</v>
      </c>
      <c r="D109" t="s">
        <v>308</v>
      </c>
      <c r="E109">
        <v>12500</v>
      </c>
      <c r="F109">
        <v>2266.5966386554619</v>
      </c>
      <c r="G109">
        <v>39</v>
      </c>
      <c r="H109" s="2">
        <v>42673</v>
      </c>
      <c r="I109">
        <v>98</v>
      </c>
      <c r="J109" t="s">
        <v>309</v>
      </c>
      <c r="K109" t="s">
        <v>310</v>
      </c>
      <c r="L109" t="s">
        <v>233</v>
      </c>
      <c r="M109" t="s">
        <v>234</v>
      </c>
      <c r="N109" t="s">
        <v>235</v>
      </c>
      <c r="O109" t="s">
        <v>36</v>
      </c>
      <c r="P109">
        <v>88</v>
      </c>
      <c r="Q109">
        <v>10000</v>
      </c>
      <c r="R109">
        <v>500</v>
      </c>
      <c r="S109">
        <v>750</v>
      </c>
      <c r="T109">
        <v>150</v>
      </c>
      <c r="U109">
        <v>12500</v>
      </c>
      <c r="V109">
        <v>11400</v>
      </c>
      <c r="W109">
        <v>9.6491228070175517E-2</v>
      </c>
      <c r="X109">
        <v>1100</v>
      </c>
      <c r="Y109" t="s">
        <v>73</v>
      </c>
      <c r="Z109" s="2">
        <v>42672</v>
      </c>
      <c r="AA109">
        <v>21</v>
      </c>
      <c r="AB109" t="s">
        <v>247</v>
      </c>
      <c r="AC109" t="s">
        <v>134</v>
      </c>
      <c r="AD109" t="s">
        <v>71</v>
      </c>
      <c r="AE109" t="str">
        <f t="shared" si="1"/>
        <v>Sunday</v>
      </c>
      <c r="AF109" s="12">
        <f>Table1[[#This Row],[Total Cost]]+Table1[[#This Row],[PROFIT]]</f>
        <v>12500</v>
      </c>
    </row>
    <row r="110" spans="1:32" x14ac:dyDescent="0.3">
      <c r="A110">
        <v>109</v>
      </c>
      <c r="B110">
        <v>99</v>
      </c>
      <c r="C110">
        <v>1</v>
      </c>
      <c r="D110" t="s">
        <v>311</v>
      </c>
      <c r="E110">
        <v>12500</v>
      </c>
      <c r="F110">
        <v>750</v>
      </c>
      <c r="G110">
        <v>40</v>
      </c>
      <c r="H110" s="2">
        <v>42673</v>
      </c>
      <c r="I110">
        <v>99</v>
      </c>
      <c r="J110" t="s">
        <v>312</v>
      </c>
      <c r="K110" t="s">
        <v>313</v>
      </c>
      <c r="L110" t="s">
        <v>239</v>
      </c>
      <c r="M110" t="s">
        <v>240</v>
      </c>
      <c r="N110" t="s">
        <v>241</v>
      </c>
      <c r="O110" t="s">
        <v>36</v>
      </c>
      <c r="P110">
        <v>22</v>
      </c>
      <c r="Q110">
        <v>10000</v>
      </c>
      <c r="R110">
        <v>500</v>
      </c>
      <c r="S110">
        <v>750</v>
      </c>
      <c r="T110">
        <v>150</v>
      </c>
      <c r="U110">
        <v>12500</v>
      </c>
      <c r="V110">
        <v>11400</v>
      </c>
      <c r="W110">
        <v>9.6491228070175517E-2</v>
      </c>
      <c r="X110">
        <v>1100</v>
      </c>
      <c r="Y110" t="s">
        <v>73</v>
      </c>
      <c r="Z110" s="2">
        <v>42672</v>
      </c>
      <c r="AA110">
        <v>4</v>
      </c>
      <c r="AB110" t="s">
        <v>69</v>
      </c>
      <c r="AC110" t="s">
        <v>70</v>
      </c>
      <c r="AD110" t="s">
        <v>71</v>
      </c>
      <c r="AE110" t="str">
        <f t="shared" si="1"/>
        <v>Sunday</v>
      </c>
      <c r="AF110" s="12">
        <f>Table1[[#This Row],[Total Cost]]+Table1[[#This Row],[PROFIT]]</f>
        <v>12500</v>
      </c>
    </row>
    <row r="111" spans="1:32" x14ac:dyDescent="0.3">
      <c r="A111">
        <v>110</v>
      </c>
      <c r="B111">
        <v>100</v>
      </c>
      <c r="C111">
        <v>1</v>
      </c>
      <c r="D111" t="s">
        <v>314</v>
      </c>
      <c r="E111">
        <v>56890</v>
      </c>
      <c r="F111">
        <v>2450</v>
      </c>
      <c r="G111">
        <v>3</v>
      </c>
      <c r="H111" s="2">
        <v>42677</v>
      </c>
      <c r="I111">
        <v>100</v>
      </c>
      <c r="J111" t="s">
        <v>47</v>
      </c>
      <c r="K111" t="s">
        <v>48</v>
      </c>
      <c r="L111" t="s">
        <v>33</v>
      </c>
      <c r="M111" t="s">
        <v>34</v>
      </c>
      <c r="N111" t="s">
        <v>35</v>
      </c>
      <c r="O111" t="s">
        <v>36</v>
      </c>
      <c r="P111">
        <v>23</v>
      </c>
      <c r="Q111">
        <v>45512</v>
      </c>
      <c r="R111">
        <v>2000</v>
      </c>
      <c r="S111">
        <v>750</v>
      </c>
      <c r="T111">
        <v>550</v>
      </c>
      <c r="U111">
        <v>56890</v>
      </c>
      <c r="V111">
        <v>48812</v>
      </c>
      <c r="W111">
        <v>0.16549209210849791</v>
      </c>
      <c r="X111">
        <v>8078</v>
      </c>
      <c r="Y111" t="s">
        <v>126</v>
      </c>
      <c r="Z111" s="2">
        <v>42675</v>
      </c>
      <c r="AA111">
        <v>4</v>
      </c>
      <c r="AB111" t="s">
        <v>74</v>
      </c>
      <c r="AC111" t="s">
        <v>70</v>
      </c>
      <c r="AD111" t="s">
        <v>71</v>
      </c>
      <c r="AE111" t="str">
        <f t="shared" si="1"/>
        <v>Thursday</v>
      </c>
      <c r="AF111" s="12">
        <f>Table1[[#This Row],[Total Cost]]+Table1[[#This Row],[PROFIT]]</f>
        <v>56890</v>
      </c>
    </row>
    <row r="112" spans="1:32" x14ac:dyDescent="0.3">
      <c r="A112">
        <v>111</v>
      </c>
      <c r="B112">
        <v>101</v>
      </c>
      <c r="C112">
        <v>1</v>
      </c>
      <c r="D112" t="s">
        <v>315</v>
      </c>
      <c r="E112">
        <v>55000</v>
      </c>
      <c r="F112">
        <v>2450</v>
      </c>
      <c r="G112">
        <v>12</v>
      </c>
      <c r="H112" s="2">
        <v>42678</v>
      </c>
      <c r="I112">
        <v>101</v>
      </c>
      <c r="J112" t="s">
        <v>105</v>
      </c>
      <c r="K112" t="s">
        <v>106</v>
      </c>
      <c r="L112" t="s">
        <v>95</v>
      </c>
      <c r="M112" t="s">
        <v>34</v>
      </c>
      <c r="N112" t="s">
        <v>35</v>
      </c>
      <c r="O112" t="s">
        <v>36</v>
      </c>
      <c r="P112">
        <v>24</v>
      </c>
      <c r="Q112">
        <v>44000</v>
      </c>
      <c r="R112">
        <v>660</v>
      </c>
      <c r="S112">
        <v>500</v>
      </c>
      <c r="T112">
        <v>550</v>
      </c>
      <c r="U112">
        <v>55000</v>
      </c>
      <c r="V112">
        <v>45710</v>
      </c>
      <c r="W112">
        <v>0.2032378035440823</v>
      </c>
      <c r="X112">
        <v>9290</v>
      </c>
      <c r="Y112" t="s">
        <v>126</v>
      </c>
      <c r="Z112" s="2">
        <v>42675</v>
      </c>
      <c r="AA112">
        <v>4</v>
      </c>
      <c r="AB112" t="s">
        <v>80</v>
      </c>
      <c r="AC112" t="s">
        <v>70</v>
      </c>
      <c r="AD112" t="s">
        <v>71</v>
      </c>
      <c r="AE112" t="str">
        <f t="shared" si="1"/>
        <v>Friday</v>
      </c>
      <c r="AF112" s="12">
        <f>Table1[[#This Row],[Total Cost]]+Table1[[#This Row],[PROFIT]]</f>
        <v>55000</v>
      </c>
    </row>
    <row r="113" spans="1:32" x14ac:dyDescent="0.3">
      <c r="A113">
        <v>112</v>
      </c>
      <c r="B113">
        <v>102</v>
      </c>
      <c r="C113">
        <v>1</v>
      </c>
      <c r="D113" t="s">
        <v>316</v>
      </c>
      <c r="E113">
        <v>9990</v>
      </c>
      <c r="F113">
        <v>2266.5966386554619</v>
      </c>
      <c r="G113">
        <v>26</v>
      </c>
      <c r="H113" s="2">
        <v>42706</v>
      </c>
      <c r="I113">
        <v>102</v>
      </c>
      <c r="J113" t="s">
        <v>205</v>
      </c>
      <c r="K113" t="s">
        <v>206</v>
      </c>
      <c r="L113" t="s">
        <v>207</v>
      </c>
      <c r="M113" t="s">
        <v>34</v>
      </c>
      <c r="N113" t="s">
        <v>35</v>
      </c>
      <c r="O113" t="s">
        <v>36</v>
      </c>
      <c r="P113">
        <v>88</v>
      </c>
      <c r="Q113">
        <v>7992</v>
      </c>
      <c r="R113">
        <v>500</v>
      </c>
      <c r="S113">
        <v>750</v>
      </c>
      <c r="T113">
        <v>150</v>
      </c>
      <c r="U113">
        <v>191490</v>
      </c>
      <c r="V113">
        <v>9392</v>
      </c>
      <c r="W113">
        <v>19.38862862010221</v>
      </c>
      <c r="X113">
        <v>182098</v>
      </c>
      <c r="Y113" t="s">
        <v>73</v>
      </c>
      <c r="Z113" s="2">
        <v>42685</v>
      </c>
      <c r="AA113">
        <v>21</v>
      </c>
      <c r="AB113" t="s">
        <v>247</v>
      </c>
      <c r="AC113" t="s">
        <v>134</v>
      </c>
      <c r="AD113" t="s">
        <v>71</v>
      </c>
      <c r="AE113" t="str">
        <f t="shared" si="1"/>
        <v>Friday</v>
      </c>
      <c r="AF113" s="12">
        <f>Table1[[#This Row],[Total Cost]]+Table1[[#This Row],[PROFIT]]</f>
        <v>191490</v>
      </c>
    </row>
    <row r="114" spans="1:32" x14ac:dyDescent="0.3">
      <c r="A114">
        <v>113</v>
      </c>
      <c r="B114">
        <v>102</v>
      </c>
      <c r="C114">
        <v>2</v>
      </c>
      <c r="D114" t="s">
        <v>317</v>
      </c>
      <c r="E114">
        <v>46500</v>
      </c>
      <c r="F114">
        <v>2266.5966386554619</v>
      </c>
      <c r="G114">
        <v>26</v>
      </c>
      <c r="H114" s="2">
        <v>42706</v>
      </c>
      <c r="I114">
        <v>102</v>
      </c>
      <c r="J114" t="s">
        <v>205</v>
      </c>
      <c r="K114" t="s">
        <v>206</v>
      </c>
      <c r="L114" t="s">
        <v>207</v>
      </c>
      <c r="M114" t="s">
        <v>34</v>
      </c>
      <c r="N114" t="s">
        <v>35</v>
      </c>
      <c r="O114" t="s">
        <v>36</v>
      </c>
      <c r="P114">
        <v>25</v>
      </c>
      <c r="Q114">
        <v>37200</v>
      </c>
      <c r="R114">
        <v>2000</v>
      </c>
      <c r="S114">
        <v>750</v>
      </c>
      <c r="T114">
        <v>550</v>
      </c>
      <c r="U114">
        <v>191490</v>
      </c>
      <c r="V114">
        <v>40500</v>
      </c>
      <c r="W114">
        <v>3.728148148148148</v>
      </c>
      <c r="X114">
        <v>150990</v>
      </c>
      <c r="Y114" t="s">
        <v>49</v>
      </c>
      <c r="Z114" s="2">
        <v>42685</v>
      </c>
      <c r="AA114">
        <v>4</v>
      </c>
      <c r="AB114" t="s">
        <v>245</v>
      </c>
      <c r="AC114" t="s">
        <v>70</v>
      </c>
      <c r="AD114" t="s">
        <v>71</v>
      </c>
      <c r="AE114" t="str">
        <f t="shared" si="1"/>
        <v>Friday</v>
      </c>
      <c r="AF114" s="12">
        <f>Table1[[#This Row],[Total Cost]]+Table1[[#This Row],[PROFIT]]</f>
        <v>191490</v>
      </c>
    </row>
    <row r="115" spans="1:32" x14ac:dyDescent="0.3">
      <c r="A115">
        <v>114</v>
      </c>
      <c r="B115">
        <v>102</v>
      </c>
      <c r="C115">
        <v>3</v>
      </c>
      <c r="D115" t="s">
        <v>318</v>
      </c>
      <c r="E115">
        <v>9500</v>
      </c>
      <c r="F115">
        <v>2266.5966386554619</v>
      </c>
      <c r="G115">
        <v>26</v>
      </c>
      <c r="H115" s="2">
        <v>42706</v>
      </c>
      <c r="I115">
        <v>102</v>
      </c>
      <c r="J115" t="s">
        <v>205</v>
      </c>
      <c r="K115" t="s">
        <v>206</v>
      </c>
      <c r="L115" t="s">
        <v>207</v>
      </c>
      <c r="M115" t="s">
        <v>34</v>
      </c>
      <c r="N115" t="s">
        <v>35</v>
      </c>
      <c r="O115" t="s">
        <v>36</v>
      </c>
      <c r="P115">
        <v>89</v>
      </c>
      <c r="Q115">
        <v>7600</v>
      </c>
      <c r="R115">
        <v>500</v>
      </c>
      <c r="S115">
        <v>750</v>
      </c>
      <c r="T115">
        <v>150</v>
      </c>
      <c r="U115">
        <v>191490</v>
      </c>
      <c r="V115">
        <v>9000</v>
      </c>
      <c r="W115">
        <v>20.276666666666671</v>
      </c>
      <c r="X115">
        <v>182490</v>
      </c>
      <c r="Y115" t="s">
        <v>73</v>
      </c>
      <c r="Z115" s="2">
        <v>42685</v>
      </c>
      <c r="AA115">
        <v>21</v>
      </c>
      <c r="AB115" t="s">
        <v>280</v>
      </c>
      <c r="AC115" t="s">
        <v>134</v>
      </c>
      <c r="AD115" t="s">
        <v>71</v>
      </c>
      <c r="AE115" t="str">
        <f t="shared" si="1"/>
        <v>Friday</v>
      </c>
      <c r="AF115" s="12">
        <f>Table1[[#This Row],[Total Cost]]+Table1[[#This Row],[PROFIT]]</f>
        <v>191490</v>
      </c>
    </row>
    <row r="116" spans="1:32" x14ac:dyDescent="0.3">
      <c r="A116">
        <v>115</v>
      </c>
      <c r="B116">
        <v>102</v>
      </c>
      <c r="C116">
        <v>4</v>
      </c>
      <c r="D116" t="s">
        <v>319</v>
      </c>
      <c r="E116">
        <v>125500</v>
      </c>
      <c r="F116">
        <v>2266.5966386554619</v>
      </c>
      <c r="G116">
        <v>26</v>
      </c>
      <c r="H116" s="2">
        <v>42706</v>
      </c>
      <c r="I116">
        <v>102</v>
      </c>
      <c r="J116" t="s">
        <v>205</v>
      </c>
      <c r="K116" t="s">
        <v>206</v>
      </c>
      <c r="L116" t="s">
        <v>207</v>
      </c>
      <c r="M116" t="s">
        <v>34</v>
      </c>
      <c r="N116" t="s">
        <v>35</v>
      </c>
      <c r="O116" t="s">
        <v>36</v>
      </c>
      <c r="P116">
        <v>26</v>
      </c>
      <c r="Q116">
        <v>100400</v>
      </c>
      <c r="R116">
        <v>3950</v>
      </c>
      <c r="S116">
        <v>1500</v>
      </c>
      <c r="T116">
        <v>1950</v>
      </c>
      <c r="U116">
        <v>191490</v>
      </c>
      <c r="V116">
        <v>107800</v>
      </c>
      <c r="W116">
        <v>0.77634508348794062</v>
      </c>
      <c r="X116">
        <v>83690</v>
      </c>
      <c r="Y116" t="s">
        <v>37</v>
      </c>
      <c r="Z116" s="2">
        <v>42705</v>
      </c>
      <c r="AA116">
        <v>4</v>
      </c>
      <c r="AB116" t="s">
        <v>147</v>
      </c>
      <c r="AC116" t="s">
        <v>70</v>
      </c>
      <c r="AD116" t="s">
        <v>71</v>
      </c>
      <c r="AE116" t="str">
        <f t="shared" si="1"/>
        <v>Friday</v>
      </c>
      <c r="AF116" s="12">
        <f>Table1[[#This Row],[Total Cost]]+Table1[[#This Row],[PROFIT]]</f>
        <v>191490</v>
      </c>
    </row>
    <row r="117" spans="1:32" x14ac:dyDescent="0.3">
      <c r="A117">
        <v>116</v>
      </c>
      <c r="B117">
        <v>103</v>
      </c>
      <c r="C117">
        <v>1</v>
      </c>
      <c r="D117" t="s">
        <v>320</v>
      </c>
      <c r="E117">
        <v>99500</v>
      </c>
      <c r="F117">
        <v>5000</v>
      </c>
      <c r="G117">
        <v>33</v>
      </c>
      <c r="H117" s="2">
        <v>42710</v>
      </c>
      <c r="I117">
        <v>103</v>
      </c>
      <c r="J117" t="s">
        <v>237</v>
      </c>
      <c r="K117" t="s">
        <v>238</v>
      </c>
      <c r="L117" t="s">
        <v>239</v>
      </c>
      <c r="M117" t="s">
        <v>240</v>
      </c>
      <c r="N117" t="s">
        <v>241</v>
      </c>
      <c r="O117" t="s">
        <v>36</v>
      </c>
      <c r="P117">
        <v>35</v>
      </c>
      <c r="Q117">
        <v>79600</v>
      </c>
      <c r="R117">
        <v>1490</v>
      </c>
      <c r="S117">
        <v>750</v>
      </c>
      <c r="T117">
        <v>750</v>
      </c>
      <c r="U117">
        <v>99500</v>
      </c>
      <c r="V117">
        <v>82590</v>
      </c>
      <c r="W117">
        <v>0.2047463373289744</v>
      </c>
      <c r="X117">
        <v>16910</v>
      </c>
      <c r="Y117" t="s">
        <v>244</v>
      </c>
      <c r="Z117" s="2">
        <v>42705</v>
      </c>
      <c r="AA117">
        <v>6</v>
      </c>
      <c r="AB117" t="s">
        <v>302</v>
      </c>
      <c r="AC117" t="s">
        <v>303</v>
      </c>
      <c r="AD117" t="s">
        <v>71</v>
      </c>
      <c r="AE117" t="str">
        <f t="shared" si="1"/>
        <v>Tuesday</v>
      </c>
      <c r="AF117" s="12">
        <f>Table1[[#This Row],[Total Cost]]+Table1[[#This Row],[PROFIT]]</f>
        <v>99500</v>
      </c>
    </row>
    <row r="118" spans="1:32" x14ac:dyDescent="0.3">
      <c r="A118">
        <v>117</v>
      </c>
      <c r="B118">
        <v>104</v>
      </c>
      <c r="C118">
        <v>1</v>
      </c>
      <c r="D118" t="s">
        <v>321</v>
      </c>
      <c r="E118">
        <v>60500</v>
      </c>
      <c r="F118">
        <v>2266.5966386554619</v>
      </c>
      <c r="G118">
        <v>13</v>
      </c>
      <c r="H118" s="2">
        <v>42710</v>
      </c>
      <c r="I118">
        <v>104</v>
      </c>
      <c r="J118" t="s">
        <v>108</v>
      </c>
      <c r="K118" t="s">
        <v>109</v>
      </c>
      <c r="L118" t="s">
        <v>110</v>
      </c>
      <c r="M118" t="s">
        <v>64</v>
      </c>
      <c r="N118" t="s">
        <v>65</v>
      </c>
      <c r="O118" t="s">
        <v>36</v>
      </c>
      <c r="P118">
        <v>36</v>
      </c>
      <c r="Q118">
        <v>48400</v>
      </c>
      <c r="R118">
        <v>500</v>
      </c>
      <c r="S118">
        <v>1500</v>
      </c>
      <c r="T118">
        <v>550</v>
      </c>
      <c r="U118">
        <v>60500</v>
      </c>
      <c r="V118">
        <v>50950</v>
      </c>
      <c r="W118">
        <v>0.18743866535819431</v>
      </c>
      <c r="X118">
        <v>9550</v>
      </c>
      <c r="Y118" t="s">
        <v>68</v>
      </c>
      <c r="Z118" s="2">
        <v>42709</v>
      </c>
      <c r="AA118">
        <v>6</v>
      </c>
      <c r="AB118" t="s">
        <v>322</v>
      </c>
      <c r="AC118" t="s">
        <v>303</v>
      </c>
      <c r="AD118" t="s">
        <v>71</v>
      </c>
      <c r="AE118" t="str">
        <f t="shared" si="1"/>
        <v>Tuesday</v>
      </c>
      <c r="AF118" s="12">
        <f>Table1[[#This Row],[Total Cost]]+Table1[[#This Row],[PROFIT]]</f>
        <v>60500</v>
      </c>
    </row>
    <row r="119" spans="1:32" x14ac:dyDescent="0.3">
      <c r="A119">
        <v>118</v>
      </c>
      <c r="B119">
        <v>105</v>
      </c>
      <c r="C119">
        <v>1</v>
      </c>
      <c r="D119" t="s">
        <v>323</v>
      </c>
      <c r="E119">
        <v>123500</v>
      </c>
      <c r="F119">
        <v>5000</v>
      </c>
      <c r="G119">
        <v>14</v>
      </c>
      <c r="H119" s="2">
        <v>42710</v>
      </c>
      <c r="I119">
        <v>105</v>
      </c>
      <c r="J119" t="s">
        <v>114</v>
      </c>
      <c r="K119" t="s">
        <v>115</v>
      </c>
      <c r="L119" t="s">
        <v>95</v>
      </c>
      <c r="M119" t="s">
        <v>34</v>
      </c>
      <c r="N119" t="s">
        <v>35</v>
      </c>
      <c r="O119" t="s">
        <v>36</v>
      </c>
      <c r="P119">
        <v>17</v>
      </c>
      <c r="Q119">
        <v>98800</v>
      </c>
      <c r="R119">
        <v>2000</v>
      </c>
      <c r="S119">
        <v>750</v>
      </c>
      <c r="T119">
        <v>750</v>
      </c>
      <c r="U119">
        <v>123500</v>
      </c>
      <c r="V119">
        <v>102300</v>
      </c>
      <c r="W119">
        <v>0.20723362658846531</v>
      </c>
      <c r="X119">
        <v>21200</v>
      </c>
      <c r="Y119" t="s">
        <v>73</v>
      </c>
      <c r="Z119" s="2">
        <v>42709</v>
      </c>
      <c r="AA119">
        <v>3</v>
      </c>
      <c r="AB119" t="s">
        <v>180</v>
      </c>
      <c r="AC119" t="s">
        <v>181</v>
      </c>
      <c r="AD119" t="s">
        <v>40</v>
      </c>
      <c r="AE119" t="str">
        <f t="shared" si="1"/>
        <v>Tuesday</v>
      </c>
      <c r="AF119" s="12">
        <f>Table1[[#This Row],[Total Cost]]+Table1[[#This Row],[PROFIT]]</f>
        <v>123500</v>
      </c>
    </row>
    <row r="120" spans="1:32" x14ac:dyDescent="0.3">
      <c r="A120">
        <v>119</v>
      </c>
      <c r="B120">
        <v>106</v>
      </c>
      <c r="C120">
        <v>1</v>
      </c>
      <c r="D120" t="s">
        <v>324</v>
      </c>
      <c r="E120">
        <v>25000</v>
      </c>
      <c r="F120">
        <v>2266.5966386554619</v>
      </c>
      <c r="G120">
        <v>23</v>
      </c>
      <c r="H120" s="2">
        <v>42712</v>
      </c>
      <c r="I120">
        <v>106</v>
      </c>
      <c r="J120" t="s">
        <v>174</v>
      </c>
      <c r="K120" t="s">
        <v>175</v>
      </c>
      <c r="L120" t="s">
        <v>176</v>
      </c>
      <c r="M120" t="s">
        <v>57</v>
      </c>
      <c r="N120" t="s">
        <v>58</v>
      </c>
      <c r="O120" t="s">
        <v>36</v>
      </c>
      <c r="P120">
        <v>18</v>
      </c>
      <c r="Q120">
        <v>20000</v>
      </c>
      <c r="R120">
        <v>1360</v>
      </c>
      <c r="S120">
        <v>750</v>
      </c>
      <c r="T120">
        <v>150</v>
      </c>
      <c r="U120">
        <v>25000</v>
      </c>
      <c r="V120">
        <v>22260</v>
      </c>
      <c r="W120">
        <v>0.1230907457322552</v>
      </c>
      <c r="X120">
        <v>2740</v>
      </c>
      <c r="Y120" t="s">
        <v>68</v>
      </c>
      <c r="Z120" s="2">
        <v>42711</v>
      </c>
      <c r="AA120">
        <v>3</v>
      </c>
      <c r="AB120" t="s">
        <v>186</v>
      </c>
      <c r="AC120" t="s">
        <v>181</v>
      </c>
      <c r="AD120" t="s">
        <v>40</v>
      </c>
      <c r="AE120" t="str">
        <f t="shared" si="1"/>
        <v>Thursday</v>
      </c>
      <c r="AF120" s="12">
        <f>Table1[[#This Row],[Total Cost]]+Table1[[#This Row],[PROFIT]]</f>
        <v>25000</v>
      </c>
    </row>
    <row r="121" spans="1:32" x14ac:dyDescent="0.3">
      <c r="A121">
        <v>120</v>
      </c>
      <c r="B121">
        <v>107</v>
      </c>
      <c r="C121">
        <v>1</v>
      </c>
      <c r="D121" t="s">
        <v>325</v>
      </c>
      <c r="E121">
        <v>169500</v>
      </c>
      <c r="F121">
        <v>2266.5966386554619</v>
      </c>
      <c r="G121">
        <v>28</v>
      </c>
      <c r="H121" s="2">
        <v>42724</v>
      </c>
      <c r="I121">
        <v>107</v>
      </c>
      <c r="J121" t="s">
        <v>212</v>
      </c>
      <c r="K121" t="s">
        <v>213</v>
      </c>
      <c r="L121" t="s">
        <v>84</v>
      </c>
      <c r="M121" t="s">
        <v>64</v>
      </c>
      <c r="N121" t="s">
        <v>65</v>
      </c>
      <c r="O121" t="s">
        <v>36</v>
      </c>
      <c r="P121">
        <v>18</v>
      </c>
      <c r="Q121">
        <v>135600</v>
      </c>
      <c r="R121">
        <v>9250</v>
      </c>
      <c r="S121">
        <v>1500</v>
      </c>
      <c r="T121">
        <v>1950</v>
      </c>
      <c r="U121">
        <v>169500</v>
      </c>
      <c r="V121">
        <v>148300</v>
      </c>
      <c r="W121">
        <v>0.14295347269049219</v>
      </c>
      <c r="X121">
        <v>21200</v>
      </c>
      <c r="Y121" t="s">
        <v>49</v>
      </c>
      <c r="Z121" s="2">
        <v>42711</v>
      </c>
      <c r="AA121">
        <v>3</v>
      </c>
      <c r="AB121" t="s">
        <v>186</v>
      </c>
      <c r="AC121" t="s">
        <v>181</v>
      </c>
      <c r="AD121" t="s">
        <v>40</v>
      </c>
      <c r="AE121" t="str">
        <f t="shared" si="1"/>
        <v>Tuesday</v>
      </c>
      <c r="AF121" s="12">
        <f>Table1[[#This Row],[Total Cost]]+Table1[[#This Row],[PROFIT]]</f>
        <v>169500</v>
      </c>
    </row>
    <row r="122" spans="1:32" x14ac:dyDescent="0.3">
      <c r="A122">
        <v>121</v>
      </c>
      <c r="B122">
        <v>108</v>
      </c>
      <c r="C122">
        <v>1</v>
      </c>
      <c r="D122" t="s">
        <v>326</v>
      </c>
      <c r="E122">
        <v>99500</v>
      </c>
      <c r="F122">
        <v>2266.5966386554619</v>
      </c>
      <c r="G122">
        <v>29</v>
      </c>
      <c r="H122" s="2">
        <v>42732</v>
      </c>
      <c r="I122">
        <v>108</v>
      </c>
      <c r="J122" t="s">
        <v>217</v>
      </c>
      <c r="K122" t="s">
        <v>218</v>
      </c>
      <c r="L122" t="s">
        <v>78</v>
      </c>
      <c r="M122" t="s">
        <v>34</v>
      </c>
      <c r="N122" t="s">
        <v>35</v>
      </c>
      <c r="O122" t="s">
        <v>36</v>
      </c>
      <c r="P122">
        <v>34</v>
      </c>
      <c r="Q122">
        <v>79600</v>
      </c>
      <c r="R122">
        <v>2175</v>
      </c>
      <c r="S122">
        <v>750</v>
      </c>
      <c r="T122">
        <v>750</v>
      </c>
      <c r="U122">
        <v>99500</v>
      </c>
      <c r="V122">
        <v>83275</v>
      </c>
      <c r="W122">
        <v>0.19483638546982901</v>
      </c>
      <c r="X122">
        <v>16225</v>
      </c>
      <c r="Y122" t="s">
        <v>73</v>
      </c>
      <c r="Z122" s="2">
        <v>42729</v>
      </c>
      <c r="AA122">
        <v>5</v>
      </c>
      <c r="AB122" t="s">
        <v>327</v>
      </c>
      <c r="AC122" t="s">
        <v>98</v>
      </c>
      <c r="AD122" t="s">
        <v>71</v>
      </c>
      <c r="AE122" t="str">
        <f t="shared" si="1"/>
        <v>Wednesday</v>
      </c>
      <c r="AF122" s="12">
        <f>Table1[[#This Row],[Total Cost]]+Table1[[#This Row],[PROFIT]]</f>
        <v>99500</v>
      </c>
    </row>
    <row r="123" spans="1:32" x14ac:dyDescent="0.3">
      <c r="A123">
        <v>122</v>
      </c>
      <c r="B123">
        <v>109</v>
      </c>
      <c r="C123">
        <v>1</v>
      </c>
      <c r="D123" t="s">
        <v>328</v>
      </c>
      <c r="E123">
        <v>39500</v>
      </c>
      <c r="F123">
        <v>2266.5966386554619</v>
      </c>
      <c r="G123">
        <v>39</v>
      </c>
      <c r="H123" s="2">
        <v>42735.416666666657</v>
      </c>
      <c r="I123">
        <v>109</v>
      </c>
      <c r="J123" t="s">
        <v>309</v>
      </c>
      <c r="K123" t="s">
        <v>310</v>
      </c>
      <c r="L123" t="s">
        <v>233</v>
      </c>
      <c r="M123" t="s">
        <v>234</v>
      </c>
      <c r="N123" t="s">
        <v>235</v>
      </c>
      <c r="O123" t="s">
        <v>36</v>
      </c>
      <c r="P123">
        <v>14</v>
      </c>
      <c r="Q123">
        <v>31600</v>
      </c>
      <c r="R123">
        <v>500</v>
      </c>
      <c r="S123">
        <v>500</v>
      </c>
      <c r="T123">
        <v>550</v>
      </c>
      <c r="U123">
        <v>39500</v>
      </c>
      <c r="V123">
        <v>33150</v>
      </c>
      <c r="W123">
        <v>0.19155354449472101</v>
      </c>
      <c r="X123">
        <v>6350</v>
      </c>
      <c r="Y123" t="s">
        <v>79</v>
      </c>
      <c r="Z123" s="2">
        <v>42734</v>
      </c>
      <c r="AA123">
        <v>2</v>
      </c>
      <c r="AB123" t="s">
        <v>225</v>
      </c>
      <c r="AC123" t="s">
        <v>51</v>
      </c>
      <c r="AD123" t="s">
        <v>52</v>
      </c>
      <c r="AE123" t="str">
        <f t="shared" si="1"/>
        <v>Saturday</v>
      </c>
      <c r="AF123" s="12">
        <f>Table1[[#This Row],[Total Cost]]+Table1[[#This Row],[PROFIT]]</f>
        <v>39500</v>
      </c>
    </row>
    <row r="124" spans="1:32" x14ac:dyDescent="0.3">
      <c r="A124">
        <v>123</v>
      </c>
      <c r="B124">
        <v>110</v>
      </c>
      <c r="C124">
        <v>1</v>
      </c>
      <c r="D124" t="s">
        <v>329</v>
      </c>
      <c r="E124">
        <v>22500</v>
      </c>
      <c r="F124">
        <v>2266.5966386554619</v>
      </c>
      <c r="G124">
        <v>28</v>
      </c>
      <c r="H124" s="2">
        <v>42736.466666666667</v>
      </c>
      <c r="I124">
        <v>110</v>
      </c>
      <c r="J124" t="s">
        <v>212</v>
      </c>
      <c r="K124" t="s">
        <v>213</v>
      </c>
      <c r="L124" t="s">
        <v>84</v>
      </c>
      <c r="M124" t="s">
        <v>64</v>
      </c>
      <c r="N124" t="s">
        <v>65</v>
      </c>
      <c r="O124" t="s">
        <v>36</v>
      </c>
      <c r="P124">
        <v>16</v>
      </c>
      <c r="Q124">
        <v>18000</v>
      </c>
      <c r="R124">
        <v>1360</v>
      </c>
      <c r="S124">
        <v>750</v>
      </c>
      <c r="T124">
        <v>150</v>
      </c>
      <c r="U124">
        <v>22500</v>
      </c>
      <c r="V124">
        <v>20260</v>
      </c>
      <c r="W124">
        <v>0.11056268509378089</v>
      </c>
      <c r="X124">
        <v>2240</v>
      </c>
      <c r="Y124" t="s">
        <v>168</v>
      </c>
      <c r="Z124" s="2">
        <v>42735</v>
      </c>
      <c r="AA124">
        <v>2</v>
      </c>
      <c r="AB124" t="s">
        <v>330</v>
      </c>
      <c r="AC124" t="s">
        <v>51</v>
      </c>
      <c r="AD124" t="s">
        <v>52</v>
      </c>
      <c r="AE124" t="str">
        <f t="shared" si="1"/>
        <v>Sunday</v>
      </c>
      <c r="AF124" s="12">
        <f>Table1[[#This Row],[Total Cost]]+Table1[[#This Row],[PROFIT]]</f>
        <v>22500</v>
      </c>
    </row>
    <row r="125" spans="1:32" x14ac:dyDescent="0.3">
      <c r="A125">
        <v>124</v>
      </c>
      <c r="B125">
        <v>111</v>
      </c>
      <c r="C125">
        <v>1</v>
      </c>
      <c r="D125" t="s">
        <v>331</v>
      </c>
      <c r="E125">
        <v>125000</v>
      </c>
      <c r="F125">
        <v>2266.5966386554619</v>
      </c>
      <c r="G125">
        <v>27</v>
      </c>
      <c r="H125" s="2">
        <v>42740.496527777781</v>
      </c>
      <c r="I125">
        <v>111</v>
      </c>
      <c r="J125" t="s">
        <v>209</v>
      </c>
      <c r="K125" t="s">
        <v>210</v>
      </c>
      <c r="L125" t="s">
        <v>33</v>
      </c>
      <c r="M125" t="s">
        <v>34</v>
      </c>
      <c r="N125" t="s">
        <v>35</v>
      </c>
      <c r="O125" t="s">
        <v>36</v>
      </c>
      <c r="P125">
        <v>26</v>
      </c>
      <c r="Q125">
        <v>100000</v>
      </c>
      <c r="R125">
        <v>500</v>
      </c>
      <c r="S125">
        <v>1500</v>
      </c>
      <c r="T125">
        <v>750</v>
      </c>
      <c r="U125">
        <v>125000</v>
      </c>
      <c r="V125">
        <v>102750</v>
      </c>
      <c r="W125">
        <v>0.21654501216545019</v>
      </c>
      <c r="X125">
        <v>22250</v>
      </c>
      <c r="Y125" t="s">
        <v>103</v>
      </c>
      <c r="Z125" s="2">
        <v>42735</v>
      </c>
      <c r="AA125">
        <v>4</v>
      </c>
      <c r="AB125" t="s">
        <v>147</v>
      </c>
      <c r="AC125" t="s">
        <v>70</v>
      </c>
      <c r="AD125" t="s">
        <v>71</v>
      </c>
      <c r="AE125" t="str">
        <f t="shared" si="1"/>
        <v>Thursday</v>
      </c>
      <c r="AF125" s="12">
        <f>Table1[[#This Row],[Total Cost]]+Table1[[#This Row],[PROFIT]]</f>
        <v>125000</v>
      </c>
    </row>
    <row r="126" spans="1:32" x14ac:dyDescent="0.3">
      <c r="A126">
        <v>125</v>
      </c>
      <c r="B126">
        <v>112</v>
      </c>
      <c r="C126">
        <v>1</v>
      </c>
      <c r="D126" t="s">
        <v>332</v>
      </c>
      <c r="E126">
        <v>85000</v>
      </c>
      <c r="F126">
        <v>2266.5966386554619</v>
      </c>
      <c r="G126">
        <v>7</v>
      </c>
      <c r="H126" s="2">
        <v>42745.663888888892</v>
      </c>
      <c r="I126">
        <v>112</v>
      </c>
      <c r="J126" t="s">
        <v>76</v>
      </c>
      <c r="K126" t="s">
        <v>77</v>
      </c>
      <c r="L126" t="s">
        <v>78</v>
      </c>
      <c r="M126" t="s">
        <v>34</v>
      </c>
      <c r="N126" t="s">
        <v>35</v>
      </c>
      <c r="O126" t="s">
        <v>36</v>
      </c>
      <c r="P126">
        <v>38</v>
      </c>
      <c r="Q126">
        <v>68000</v>
      </c>
      <c r="R126">
        <v>1490</v>
      </c>
      <c r="S126">
        <v>1500</v>
      </c>
      <c r="T126">
        <v>750</v>
      </c>
      <c r="U126">
        <v>85000</v>
      </c>
      <c r="V126">
        <v>71740</v>
      </c>
      <c r="W126">
        <v>0.18483412322274881</v>
      </c>
      <c r="X126">
        <v>13260</v>
      </c>
      <c r="Y126" t="s">
        <v>73</v>
      </c>
      <c r="Z126" s="2">
        <v>42735</v>
      </c>
      <c r="AA126">
        <v>6</v>
      </c>
      <c r="AB126" t="s">
        <v>333</v>
      </c>
      <c r="AC126" t="s">
        <v>303</v>
      </c>
      <c r="AD126" t="s">
        <v>71</v>
      </c>
      <c r="AE126" t="str">
        <f t="shared" si="1"/>
        <v>Tuesday</v>
      </c>
      <c r="AF126" s="12">
        <f>Table1[[#This Row],[Total Cost]]+Table1[[#This Row],[PROFIT]]</f>
        <v>85000</v>
      </c>
    </row>
    <row r="127" spans="1:32" x14ac:dyDescent="0.3">
      <c r="A127">
        <v>126</v>
      </c>
      <c r="B127">
        <v>113</v>
      </c>
      <c r="C127">
        <v>1</v>
      </c>
      <c r="D127" t="s">
        <v>334</v>
      </c>
      <c r="E127">
        <v>1250</v>
      </c>
      <c r="F127">
        <v>2266.5966386554619</v>
      </c>
      <c r="G127">
        <v>13</v>
      </c>
      <c r="H127" s="2">
        <v>42756.580555555563</v>
      </c>
      <c r="I127">
        <v>113</v>
      </c>
      <c r="J127" t="s">
        <v>108</v>
      </c>
      <c r="K127" t="s">
        <v>109</v>
      </c>
      <c r="L127" t="s">
        <v>110</v>
      </c>
      <c r="M127" t="s">
        <v>64</v>
      </c>
      <c r="N127" t="s">
        <v>65</v>
      </c>
      <c r="O127" t="s">
        <v>36</v>
      </c>
      <c r="P127">
        <v>99</v>
      </c>
      <c r="Q127">
        <v>1000</v>
      </c>
      <c r="R127">
        <v>500</v>
      </c>
      <c r="S127">
        <v>750</v>
      </c>
      <c r="T127">
        <v>150</v>
      </c>
      <c r="U127">
        <v>1250</v>
      </c>
      <c r="V127">
        <v>2400</v>
      </c>
      <c r="W127">
        <v>-0.47916666666666657</v>
      </c>
      <c r="X127">
        <v>-1150</v>
      </c>
      <c r="Y127" t="s">
        <v>126</v>
      </c>
      <c r="Z127" s="2">
        <v>42737</v>
      </c>
      <c r="AA127">
        <v>23</v>
      </c>
      <c r="AB127" t="s">
        <v>335</v>
      </c>
      <c r="AC127" t="s">
        <v>336</v>
      </c>
      <c r="AD127" t="s">
        <v>52</v>
      </c>
      <c r="AE127" t="str">
        <f t="shared" si="1"/>
        <v>Saturday</v>
      </c>
      <c r="AF127" s="12">
        <f>Table1[[#This Row],[Total Cost]]+Table1[[#This Row],[PROFIT]]</f>
        <v>1250</v>
      </c>
    </row>
    <row r="128" spans="1:32" x14ac:dyDescent="0.3">
      <c r="A128">
        <v>127</v>
      </c>
      <c r="B128">
        <v>114</v>
      </c>
      <c r="C128">
        <v>1</v>
      </c>
      <c r="D128" t="s">
        <v>337</v>
      </c>
      <c r="E128">
        <v>22500</v>
      </c>
      <c r="F128">
        <v>2266.5966386554619</v>
      </c>
      <c r="G128">
        <v>6</v>
      </c>
      <c r="H128" s="2">
        <v>42746.744444444441</v>
      </c>
      <c r="I128">
        <v>114</v>
      </c>
      <c r="J128" t="s">
        <v>151</v>
      </c>
      <c r="K128" t="s">
        <v>152</v>
      </c>
      <c r="L128" t="s">
        <v>153</v>
      </c>
      <c r="M128" t="s">
        <v>154</v>
      </c>
      <c r="N128" t="s">
        <v>155</v>
      </c>
      <c r="O128" t="s">
        <v>36</v>
      </c>
      <c r="P128">
        <v>45</v>
      </c>
      <c r="Q128">
        <v>18000</v>
      </c>
      <c r="R128">
        <v>500</v>
      </c>
      <c r="S128">
        <v>750</v>
      </c>
      <c r="T128">
        <v>150</v>
      </c>
      <c r="U128">
        <v>22500</v>
      </c>
      <c r="V128">
        <v>19400</v>
      </c>
      <c r="W128">
        <v>0.15979381443298979</v>
      </c>
      <c r="X128">
        <v>3100</v>
      </c>
      <c r="Y128" t="s">
        <v>126</v>
      </c>
      <c r="Z128" s="2">
        <v>42737</v>
      </c>
      <c r="AA128">
        <v>8</v>
      </c>
      <c r="AB128" t="s">
        <v>111</v>
      </c>
      <c r="AC128" t="s">
        <v>112</v>
      </c>
      <c r="AD128" t="s">
        <v>52</v>
      </c>
      <c r="AE128" t="str">
        <f t="shared" si="1"/>
        <v>Wednesday</v>
      </c>
      <c r="AF128" s="12">
        <f>Table1[[#This Row],[Total Cost]]+Table1[[#This Row],[PROFIT]]</f>
        <v>22500</v>
      </c>
    </row>
    <row r="129" spans="1:32" x14ac:dyDescent="0.3">
      <c r="A129">
        <v>128</v>
      </c>
      <c r="B129">
        <v>115</v>
      </c>
      <c r="C129">
        <v>1</v>
      </c>
      <c r="D129" t="s">
        <v>338</v>
      </c>
      <c r="E129">
        <v>125950</v>
      </c>
      <c r="F129">
        <v>12500</v>
      </c>
      <c r="G129">
        <v>1</v>
      </c>
      <c r="H129" s="2">
        <v>42747.789583333331</v>
      </c>
      <c r="I129">
        <v>115</v>
      </c>
      <c r="J129" t="s">
        <v>31</v>
      </c>
      <c r="K129" t="s">
        <v>32</v>
      </c>
      <c r="L129" t="s">
        <v>33</v>
      </c>
      <c r="M129" t="s">
        <v>34</v>
      </c>
      <c r="N129" t="s">
        <v>35</v>
      </c>
      <c r="O129" t="s">
        <v>36</v>
      </c>
      <c r="P129">
        <v>3</v>
      </c>
      <c r="Q129">
        <v>100760</v>
      </c>
      <c r="R129">
        <v>9250</v>
      </c>
      <c r="S129">
        <v>2200</v>
      </c>
      <c r="T129">
        <v>1950</v>
      </c>
      <c r="U129">
        <v>125950</v>
      </c>
      <c r="V129">
        <v>114160</v>
      </c>
      <c r="W129">
        <v>0.10327610371408549</v>
      </c>
      <c r="X129">
        <v>11790</v>
      </c>
      <c r="Y129" t="s">
        <v>73</v>
      </c>
      <c r="Z129" s="2">
        <v>42737</v>
      </c>
      <c r="AA129">
        <v>1</v>
      </c>
      <c r="AB129" t="s">
        <v>45</v>
      </c>
      <c r="AC129" t="s">
        <v>39</v>
      </c>
      <c r="AD129" t="s">
        <v>40</v>
      </c>
      <c r="AE129" t="str">
        <f t="shared" si="1"/>
        <v>Thursday</v>
      </c>
      <c r="AF129" s="12">
        <f>Table1[[#This Row],[Total Cost]]+Table1[[#This Row],[PROFIT]]</f>
        <v>125950</v>
      </c>
    </row>
    <row r="130" spans="1:32" x14ac:dyDescent="0.3">
      <c r="A130">
        <v>129</v>
      </c>
      <c r="B130">
        <v>116</v>
      </c>
      <c r="C130">
        <v>1</v>
      </c>
      <c r="D130" t="s">
        <v>339</v>
      </c>
      <c r="E130">
        <v>8850</v>
      </c>
      <c r="F130">
        <v>2266.5966386554619</v>
      </c>
      <c r="G130">
        <v>6</v>
      </c>
      <c r="H130" s="2">
        <v>42748.831944444442</v>
      </c>
      <c r="I130">
        <v>116</v>
      </c>
      <c r="J130" t="s">
        <v>151</v>
      </c>
      <c r="K130" t="s">
        <v>152</v>
      </c>
      <c r="L130" t="s">
        <v>153</v>
      </c>
      <c r="M130" t="s">
        <v>154</v>
      </c>
      <c r="N130" t="s">
        <v>155</v>
      </c>
      <c r="O130" t="s">
        <v>36</v>
      </c>
      <c r="P130">
        <v>89</v>
      </c>
      <c r="Q130">
        <v>7080</v>
      </c>
      <c r="R130">
        <v>500</v>
      </c>
      <c r="S130">
        <v>750</v>
      </c>
      <c r="T130">
        <v>150</v>
      </c>
      <c r="U130">
        <v>8850</v>
      </c>
      <c r="V130">
        <v>8480</v>
      </c>
      <c r="W130">
        <v>4.3632075471698117E-2</v>
      </c>
      <c r="X130">
        <v>370</v>
      </c>
      <c r="Y130" t="s">
        <v>73</v>
      </c>
      <c r="Z130" s="2">
        <v>42737</v>
      </c>
      <c r="AA130">
        <v>21</v>
      </c>
      <c r="AB130" t="s">
        <v>280</v>
      </c>
      <c r="AC130" t="s">
        <v>134</v>
      </c>
      <c r="AD130" t="s">
        <v>71</v>
      </c>
      <c r="AE130" t="str">
        <f t="shared" si="1"/>
        <v>Friday</v>
      </c>
      <c r="AF130" s="12">
        <f>Table1[[#This Row],[Total Cost]]+Table1[[#This Row],[PROFIT]]</f>
        <v>8850</v>
      </c>
    </row>
    <row r="131" spans="1:32" x14ac:dyDescent="0.3">
      <c r="A131">
        <v>130</v>
      </c>
      <c r="B131">
        <v>117</v>
      </c>
      <c r="C131">
        <v>1</v>
      </c>
      <c r="D131" t="s">
        <v>340</v>
      </c>
      <c r="E131">
        <v>9950</v>
      </c>
      <c r="F131">
        <v>2266.5966386554619</v>
      </c>
      <c r="G131">
        <v>19</v>
      </c>
      <c r="H131" s="2">
        <v>42749.415277777778</v>
      </c>
      <c r="I131">
        <v>117</v>
      </c>
      <c r="J131" t="s">
        <v>140</v>
      </c>
      <c r="K131" t="s">
        <v>141</v>
      </c>
      <c r="L131" t="s">
        <v>142</v>
      </c>
      <c r="M131" t="s">
        <v>34</v>
      </c>
      <c r="N131" t="s">
        <v>35</v>
      </c>
      <c r="O131" t="s">
        <v>36</v>
      </c>
      <c r="P131">
        <v>87</v>
      </c>
      <c r="Q131">
        <v>7960</v>
      </c>
      <c r="R131">
        <v>500</v>
      </c>
      <c r="S131">
        <v>750</v>
      </c>
      <c r="T131">
        <v>150</v>
      </c>
      <c r="U131">
        <v>9950</v>
      </c>
      <c r="V131">
        <v>9360</v>
      </c>
      <c r="W131">
        <v>6.3034188034188032E-2</v>
      </c>
      <c r="X131">
        <v>590</v>
      </c>
      <c r="Y131" t="s">
        <v>168</v>
      </c>
      <c r="Z131" s="2">
        <v>42737</v>
      </c>
      <c r="AA131">
        <v>21</v>
      </c>
      <c r="AB131" t="s">
        <v>138</v>
      </c>
      <c r="AC131" t="s">
        <v>134</v>
      </c>
      <c r="AD131" t="s">
        <v>71</v>
      </c>
      <c r="AE131" t="str">
        <f t="shared" ref="AE131:AE194" si="2">TEXT(H131,"dddd")</f>
        <v>Saturday</v>
      </c>
      <c r="AF131" s="12">
        <f>Table1[[#This Row],[Total Cost]]+Table1[[#This Row],[PROFIT]]</f>
        <v>9950</v>
      </c>
    </row>
    <row r="132" spans="1:32" x14ac:dyDescent="0.3">
      <c r="A132">
        <v>131</v>
      </c>
      <c r="B132">
        <v>118</v>
      </c>
      <c r="C132">
        <v>1</v>
      </c>
      <c r="D132" t="s">
        <v>341</v>
      </c>
      <c r="E132">
        <v>56500</v>
      </c>
      <c r="F132">
        <v>2450</v>
      </c>
      <c r="G132">
        <v>28</v>
      </c>
      <c r="H132" s="2">
        <v>42765.457638888889</v>
      </c>
      <c r="I132">
        <v>118</v>
      </c>
      <c r="J132" t="s">
        <v>212</v>
      </c>
      <c r="K132" t="s">
        <v>213</v>
      </c>
      <c r="L132" t="s">
        <v>84</v>
      </c>
      <c r="M132" t="s">
        <v>64</v>
      </c>
      <c r="N132" t="s">
        <v>65</v>
      </c>
      <c r="O132" t="s">
        <v>36</v>
      </c>
      <c r="P132">
        <v>28</v>
      </c>
      <c r="Q132">
        <v>45200</v>
      </c>
      <c r="R132">
        <v>500</v>
      </c>
      <c r="S132">
        <v>750</v>
      </c>
      <c r="T132">
        <v>550</v>
      </c>
      <c r="U132">
        <v>56500</v>
      </c>
      <c r="V132">
        <v>47000</v>
      </c>
      <c r="W132">
        <v>0.2021276595744681</v>
      </c>
      <c r="X132">
        <v>9500</v>
      </c>
      <c r="Y132" t="s">
        <v>73</v>
      </c>
      <c r="Z132" s="2">
        <v>42755</v>
      </c>
      <c r="AA132">
        <v>4</v>
      </c>
      <c r="AB132" t="s">
        <v>251</v>
      </c>
      <c r="AC132" t="s">
        <v>70</v>
      </c>
      <c r="AD132" t="s">
        <v>71</v>
      </c>
      <c r="AE132" t="str">
        <f t="shared" si="2"/>
        <v>Monday</v>
      </c>
      <c r="AF132" s="12">
        <f>Table1[[#This Row],[Total Cost]]+Table1[[#This Row],[PROFIT]]</f>
        <v>56500</v>
      </c>
    </row>
    <row r="133" spans="1:32" x14ac:dyDescent="0.3">
      <c r="A133">
        <v>132</v>
      </c>
      <c r="B133">
        <v>119</v>
      </c>
      <c r="C133">
        <v>1</v>
      </c>
      <c r="D133" t="s">
        <v>342</v>
      </c>
      <c r="E133">
        <v>55000</v>
      </c>
      <c r="F133">
        <v>2266.5966386554619</v>
      </c>
      <c r="G133">
        <v>37</v>
      </c>
      <c r="H133" s="2">
        <v>42766.415972222218</v>
      </c>
      <c r="I133">
        <v>119</v>
      </c>
      <c r="J133" t="s">
        <v>273</v>
      </c>
      <c r="K133" t="s">
        <v>276</v>
      </c>
      <c r="L133" t="s">
        <v>95</v>
      </c>
      <c r="M133" t="s">
        <v>34</v>
      </c>
      <c r="N133" t="s">
        <v>35</v>
      </c>
      <c r="O133" t="s">
        <v>36</v>
      </c>
      <c r="P133">
        <v>29</v>
      </c>
      <c r="Q133">
        <v>44000</v>
      </c>
      <c r="R133">
        <v>500</v>
      </c>
      <c r="S133">
        <v>750</v>
      </c>
      <c r="T133">
        <v>550</v>
      </c>
      <c r="U133">
        <v>55000</v>
      </c>
      <c r="V133">
        <v>45800</v>
      </c>
      <c r="W133">
        <v>0.2008733624454149</v>
      </c>
      <c r="X133">
        <v>9200</v>
      </c>
      <c r="Y133" t="s">
        <v>73</v>
      </c>
      <c r="Z133" s="2">
        <v>42756</v>
      </c>
      <c r="AA133">
        <v>4</v>
      </c>
      <c r="AB133" t="s">
        <v>253</v>
      </c>
      <c r="AC133" t="s">
        <v>70</v>
      </c>
      <c r="AD133" t="s">
        <v>71</v>
      </c>
      <c r="AE133" t="str">
        <f t="shared" si="2"/>
        <v>Tuesday</v>
      </c>
      <c r="AF133" s="12">
        <f>Table1[[#This Row],[Total Cost]]+Table1[[#This Row],[PROFIT]]</f>
        <v>55000</v>
      </c>
    </row>
    <row r="134" spans="1:32" x14ac:dyDescent="0.3">
      <c r="A134">
        <v>133</v>
      </c>
      <c r="B134">
        <v>120</v>
      </c>
      <c r="C134">
        <v>1</v>
      </c>
      <c r="D134" t="s">
        <v>343</v>
      </c>
      <c r="E134">
        <v>56950</v>
      </c>
      <c r="F134">
        <v>750</v>
      </c>
      <c r="G134">
        <v>26</v>
      </c>
      <c r="H134" s="2">
        <v>42766.5</v>
      </c>
      <c r="I134">
        <v>120</v>
      </c>
      <c r="J134" t="s">
        <v>205</v>
      </c>
      <c r="K134" t="s">
        <v>206</v>
      </c>
      <c r="L134" t="s">
        <v>207</v>
      </c>
      <c r="M134" t="s">
        <v>34</v>
      </c>
      <c r="N134" t="s">
        <v>35</v>
      </c>
      <c r="O134" t="s">
        <v>36</v>
      </c>
      <c r="P134">
        <v>28</v>
      </c>
      <c r="Q134">
        <v>45560</v>
      </c>
      <c r="R134">
        <v>1360</v>
      </c>
      <c r="S134">
        <v>750</v>
      </c>
      <c r="T134">
        <v>550</v>
      </c>
      <c r="U134">
        <v>56950</v>
      </c>
      <c r="V134">
        <v>48220</v>
      </c>
      <c r="W134">
        <v>0.181045209456657</v>
      </c>
      <c r="X134">
        <v>8730</v>
      </c>
      <c r="Y134" t="s">
        <v>68</v>
      </c>
      <c r="Z134" s="2">
        <v>42760</v>
      </c>
      <c r="AA134">
        <v>4</v>
      </c>
      <c r="AB134" t="s">
        <v>251</v>
      </c>
      <c r="AC134" t="s">
        <v>70</v>
      </c>
      <c r="AD134" t="s">
        <v>71</v>
      </c>
      <c r="AE134" t="str">
        <f t="shared" si="2"/>
        <v>Tuesday</v>
      </c>
      <c r="AF134" s="12">
        <f>Table1[[#This Row],[Total Cost]]+Table1[[#This Row],[PROFIT]]</f>
        <v>56950</v>
      </c>
    </row>
    <row r="135" spans="1:32" x14ac:dyDescent="0.3">
      <c r="A135">
        <v>134</v>
      </c>
      <c r="B135">
        <v>121</v>
      </c>
      <c r="C135">
        <v>1</v>
      </c>
      <c r="D135" t="s">
        <v>344</v>
      </c>
      <c r="E135">
        <v>365000</v>
      </c>
      <c r="F135">
        <v>2266.5966386554619</v>
      </c>
      <c r="G135">
        <v>28</v>
      </c>
      <c r="H135" s="2">
        <v>42773.833333333343</v>
      </c>
      <c r="I135">
        <v>121</v>
      </c>
      <c r="J135" t="s">
        <v>212</v>
      </c>
      <c r="K135" t="s">
        <v>213</v>
      </c>
      <c r="L135" t="s">
        <v>84</v>
      </c>
      <c r="M135" t="s">
        <v>64</v>
      </c>
      <c r="N135" t="s">
        <v>65</v>
      </c>
      <c r="O135" t="s">
        <v>36</v>
      </c>
      <c r="P135">
        <v>10</v>
      </c>
      <c r="Q135">
        <v>292000</v>
      </c>
      <c r="R135">
        <v>3950</v>
      </c>
      <c r="S135">
        <v>750</v>
      </c>
      <c r="T135">
        <v>1950</v>
      </c>
      <c r="U135">
        <v>365000</v>
      </c>
      <c r="V135">
        <v>298650</v>
      </c>
      <c r="W135">
        <v>0.2221664155365812</v>
      </c>
      <c r="X135">
        <v>66350</v>
      </c>
      <c r="Y135" t="s">
        <v>73</v>
      </c>
      <c r="Z135" s="2">
        <v>42767</v>
      </c>
      <c r="AA135">
        <v>1</v>
      </c>
      <c r="AB135" t="s">
        <v>345</v>
      </c>
      <c r="AC135" t="s">
        <v>39</v>
      </c>
      <c r="AD135" t="s">
        <v>40</v>
      </c>
      <c r="AE135" t="str">
        <f t="shared" si="2"/>
        <v>Tuesday</v>
      </c>
      <c r="AF135" s="12">
        <f>Table1[[#This Row],[Total Cost]]+Table1[[#This Row],[PROFIT]]</f>
        <v>365000</v>
      </c>
    </row>
    <row r="136" spans="1:32" x14ac:dyDescent="0.3">
      <c r="A136">
        <v>135</v>
      </c>
      <c r="B136">
        <v>122</v>
      </c>
      <c r="C136">
        <v>1</v>
      </c>
      <c r="D136" t="s">
        <v>346</v>
      </c>
      <c r="E136">
        <v>395000</v>
      </c>
      <c r="F136">
        <v>2266.5966386554619</v>
      </c>
      <c r="G136">
        <v>35</v>
      </c>
      <c r="H136" s="2">
        <v>42774.542361111111</v>
      </c>
      <c r="I136">
        <v>122</v>
      </c>
      <c r="J136" t="s">
        <v>270</v>
      </c>
      <c r="K136" t="s">
        <v>271</v>
      </c>
      <c r="L136" t="s">
        <v>84</v>
      </c>
      <c r="M136" t="s">
        <v>64</v>
      </c>
      <c r="N136" t="s">
        <v>65</v>
      </c>
      <c r="O136" t="s">
        <v>36</v>
      </c>
      <c r="P136">
        <v>10</v>
      </c>
      <c r="Q136">
        <v>316000</v>
      </c>
      <c r="R136">
        <v>9250</v>
      </c>
      <c r="S136">
        <v>2200</v>
      </c>
      <c r="T136">
        <v>1950</v>
      </c>
      <c r="U136">
        <v>395000</v>
      </c>
      <c r="V136">
        <v>329400</v>
      </c>
      <c r="W136">
        <v>0.19914996964177289</v>
      </c>
      <c r="X136">
        <v>65600</v>
      </c>
      <c r="Y136" t="s">
        <v>49</v>
      </c>
      <c r="Z136" s="2">
        <v>42769</v>
      </c>
      <c r="AA136">
        <v>1</v>
      </c>
      <c r="AB136" t="s">
        <v>345</v>
      </c>
      <c r="AC136" t="s">
        <v>39</v>
      </c>
      <c r="AD136" t="s">
        <v>40</v>
      </c>
      <c r="AE136" t="str">
        <f t="shared" si="2"/>
        <v>Wednesday</v>
      </c>
      <c r="AF136" s="12">
        <f>Table1[[#This Row],[Total Cost]]+Table1[[#This Row],[PROFIT]]</f>
        <v>395000</v>
      </c>
    </row>
    <row r="137" spans="1:32" x14ac:dyDescent="0.3">
      <c r="A137">
        <v>136</v>
      </c>
      <c r="B137">
        <v>123</v>
      </c>
      <c r="C137">
        <v>1</v>
      </c>
      <c r="D137" t="s">
        <v>347</v>
      </c>
      <c r="E137">
        <v>21500</v>
      </c>
      <c r="F137">
        <v>2266.5966386554619</v>
      </c>
      <c r="G137">
        <v>36</v>
      </c>
      <c r="H137" s="2">
        <v>42775.709027777782</v>
      </c>
      <c r="I137">
        <v>123</v>
      </c>
      <c r="J137" t="s">
        <v>273</v>
      </c>
      <c r="K137" t="s">
        <v>274</v>
      </c>
      <c r="L137" t="s">
        <v>88</v>
      </c>
      <c r="M137" t="s">
        <v>89</v>
      </c>
      <c r="N137" t="s">
        <v>90</v>
      </c>
      <c r="O137" t="s">
        <v>91</v>
      </c>
      <c r="P137">
        <v>54</v>
      </c>
      <c r="Q137">
        <v>17200</v>
      </c>
      <c r="R137">
        <v>500</v>
      </c>
      <c r="S137">
        <v>500</v>
      </c>
      <c r="T137">
        <v>150</v>
      </c>
      <c r="U137">
        <v>21500</v>
      </c>
      <c r="V137">
        <v>18350</v>
      </c>
      <c r="W137">
        <v>0.17166212534059941</v>
      </c>
      <c r="X137">
        <v>3150</v>
      </c>
      <c r="Y137" t="s">
        <v>244</v>
      </c>
      <c r="Z137" s="2">
        <v>42770</v>
      </c>
      <c r="AA137">
        <v>9</v>
      </c>
      <c r="AB137" t="s">
        <v>348</v>
      </c>
      <c r="AC137" t="s">
        <v>117</v>
      </c>
      <c r="AD137" t="s">
        <v>40</v>
      </c>
      <c r="AE137" t="str">
        <f t="shared" si="2"/>
        <v>Thursday</v>
      </c>
      <c r="AF137" s="12">
        <f>Table1[[#This Row],[Total Cost]]+Table1[[#This Row],[PROFIT]]</f>
        <v>21500</v>
      </c>
    </row>
    <row r="138" spans="1:32" x14ac:dyDescent="0.3">
      <c r="A138">
        <v>137</v>
      </c>
      <c r="B138">
        <v>124</v>
      </c>
      <c r="C138">
        <v>1</v>
      </c>
      <c r="D138" t="s">
        <v>349</v>
      </c>
      <c r="E138">
        <v>6500</v>
      </c>
      <c r="F138">
        <v>2266.5966386554619</v>
      </c>
      <c r="G138">
        <v>37</v>
      </c>
      <c r="H138" s="2">
        <v>42776.459722222222</v>
      </c>
      <c r="I138">
        <v>124</v>
      </c>
      <c r="J138" t="s">
        <v>273</v>
      </c>
      <c r="K138" t="s">
        <v>276</v>
      </c>
      <c r="L138" t="s">
        <v>95</v>
      </c>
      <c r="M138" t="s">
        <v>34</v>
      </c>
      <c r="N138" t="s">
        <v>35</v>
      </c>
      <c r="O138" t="s">
        <v>36</v>
      </c>
      <c r="P138">
        <v>55</v>
      </c>
      <c r="Q138">
        <v>5200</v>
      </c>
      <c r="R138">
        <v>500</v>
      </c>
      <c r="S138">
        <v>750</v>
      </c>
      <c r="T138">
        <v>150</v>
      </c>
      <c r="U138">
        <v>6500</v>
      </c>
      <c r="V138">
        <v>6600</v>
      </c>
      <c r="W138">
        <v>-1.515151515151514E-2</v>
      </c>
      <c r="X138">
        <v>-100</v>
      </c>
      <c r="Y138" t="s">
        <v>168</v>
      </c>
      <c r="Z138" s="2">
        <v>42771</v>
      </c>
      <c r="AA138">
        <v>10</v>
      </c>
      <c r="AB138" t="s">
        <v>350</v>
      </c>
      <c r="AC138" t="s">
        <v>351</v>
      </c>
      <c r="AD138" t="s">
        <v>71</v>
      </c>
      <c r="AE138" t="str">
        <f t="shared" si="2"/>
        <v>Friday</v>
      </c>
      <c r="AF138" s="12">
        <f>Table1[[#This Row],[Total Cost]]+Table1[[#This Row],[PROFIT]]</f>
        <v>6500</v>
      </c>
    </row>
    <row r="139" spans="1:32" x14ac:dyDescent="0.3">
      <c r="A139">
        <v>138</v>
      </c>
      <c r="B139">
        <v>125</v>
      </c>
      <c r="C139">
        <v>1</v>
      </c>
      <c r="D139" t="s">
        <v>352</v>
      </c>
      <c r="E139">
        <v>12500</v>
      </c>
      <c r="F139">
        <v>750</v>
      </c>
      <c r="G139">
        <v>34</v>
      </c>
      <c r="H139" s="2">
        <v>42778.668055555558</v>
      </c>
      <c r="I139">
        <v>125</v>
      </c>
      <c r="J139" t="s">
        <v>263</v>
      </c>
      <c r="K139" t="s">
        <v>264</v>
      </c>
      <c r="L139" t="s">
        <v>265</v>
      </c>
      <c r="M139" t="s">
        <v>266</v>
      </c>
      <c r="N139" t="s">
        <v>267</v>
      </c>
      <c r="O139" t="s">
        <v>36</v>
      </c>
      <c r="P139">
        <v>88</v>
      </c>
      <c r="Q139">
        <v>10000</v>
      </c>
      <c r="R139">
        <v>500</v>
      </c>
      <c r="S139">
        <v>750</v>
      </c>
      <c r="T139">
        <v>150</v>
      </c>
      <c r="U139">
        <v>12500</v>
      </c>
      <c r="V139">
        <v>11400</v>
      </c>
      <c r="W139">
        <v>9.6491228070175517E-2</v>
      </c>
      <c r="X139">
        <v>1100</v>
      </c>
      <c r="Y139" t="s">
        <v>37</v>
      </c>
      <c r="Z139" s="2">
        <v>42644</v>
      </c>
      <c r="AA139">
        <v>21</v>
      </c>
      <c r="AB139" t="s">
        <v>247</v>
      </c>
      <c r="AC139" t="s">
        <v>134</v>
      </c>
      <c r="AD139" t="s">
        <v>71</v>
      </c>
      <c r="AE139" t="str">
        <f t="shared" si="2"/>
        <v>Sunday</v>
      </c>
      <c r="AF139" s="12">
        <f>Table1[[#This Row],[Total Cost]]+Table1[[#This Row],[PROFIT]]</f>
        <v>12500</v>
      </c>
    </row>
    <row r="140" spans="1:32" x14ac:dyDescent="0.3">
      <c r="A140">
        <v>139</v>
      </c>
      <c r="B140">
        <v>126</v>
      </c>
      <c r="C140">
        <v>1</v>
      </c>
      <c r="D140" t="s">
        <v>353</v>
      </c>
      <c r="E140">
        <v>2250</v>
      </c>
      <c r="F140">
        <v>2266.5966386554619</v>
      </c>
      <c r="G140">
        <v>1</v>
      </c>
      <c r="H140" s="2">
        <v>42780.585416666669</v>
      </c>
      <c r="I140">
        <v>126</v>
      </c>
      <c r="J140" t="s">
        <v>31</v>
      </c>
      <c r="K140" t="s">
        <v>32</v>
      </c>
      <c r="L140" t="s">
        <v>33</v>
      </c>
      <c r="M140" t="s">
        <v>34</v>
      </c>
      <c r="N140" t="s">
        <v>35</v>
      </c>
      <c r="O140" t="s">
        <v>36</v>
      </c>
      <c r="P140">
        <v>56</v>
      </c>
      <c r="Q140">
        <v>1800</v>
      </c>
      <c r="R140">
        <v>500</v>
      </c>
      <c r="S140">
        <v>750</v>
      </c>
      <c r="T140">
        <v>150</v>
      </c>
      <c r="U140">
        <v>2250</v>
      </c>
      <c r="V140">
        <v>3200</v>
      </c>
      <c r="W140">
        <v>-0.296875</v>
      </c>
      <c r="X140">
        <v>-950</v>
      </c>
      <c r="Y140" t="s">
        <v>79</v>
      </c>
      <c r="Z140" s="2">
        <v>42771</v>
      </c>
      <c r="AA140">
        <v>10</v>
      </c>
      <c r="AB140" t="s">
        <v>354</v>
      </c>
      <c r="AC140" t="s">
        <v>351</v>
      </c>
      <c r="AD140" t="s">
        <v>71</v>
      </c>
      <c r="AE140" t="str">
        <f t="shared" si="2"/>
        <v>Tuesday</v>
      </c>
      <c r="AF140" s="12">
        <f>Table1[[#This Row],[Total Cost]]+Table1[[#This Row],[PROFIT]]</f>
        <v>2250</v>
      </c>
    </row>
    <row r="141" spans="1:32" x14ac:dyDescent="0.3">
      <c r="A141">
        <v>140</v>
      </c>
      <c r="B141">
        <v>127</v>
      </c>
      <c r="C141">
        <v>1</v>
      </c>
      <c r="D141" t="s">
        <v>355</v>
      </c>
      <c r="E141">
        <v>3500</v>
      </c>
      <c r="F141">
        <v>2266.5966386554619</v>
      </c>
      <c r="G141">
        <v>11</v>
      </c>
      <c r="H141" s="2">
        <v>42799.752083333333</v>
      </c>
      <c r="I141">
        <v>127</v>
      </c>
      <c r="J141" t="s">
        <v>100</v>
      </c>
      <c r="K141" t="s">
        <v>101</v>
      </c>
      <c r="L141" t="s">
        <v>95</v>
      </c>
      <c r="M141" t="s">
        <v>34</v>
      </c>
      <c r="N141" t="s">
        <v>35</v>
      </c>
      <c r="O141" t="s">
        <v>36</v>
      </c>
      <c r="P141">
        <v>98</v>
      </c>
      <c r="Q141">
        <v>2800</v>
      </c>
      <c r="R141">
        <v>500</v>
      </c>
      <c r="S141">
        <v>750</v>
      </c>
      <c r="T141">
        <v>150</v>
      </c>
      <c r="U141">
        <v>3500</v>
      </c>
      <c r="V141">
        <v>4200</v>
      </c>
      <c r="W141">
        <v>-0.1666666666666666</v>
      </c>
      <c r="X141">
        <v>-700</v>
      </c>
      <c r="Y141" t="s">
        <v>44</v>
      </c>
      <c r="Z141" s="2">
        <v>42794</v>
      </c>
      <c r="AA141">
        <v>23</v>
      </c>
      <c r="AB141" t="s">
        <v>356</v>
      </c>
      <c r="AC141" t="s">
        <v>336</v>
      </c>
      <c r="AD141" t="s">
        <v>52</v>
      </c>
      <c r="AE141" t="str">
        <f t="shared" si="2"/>
        <v>Sunday</v>
      </c>
      <c r="AF141" s="12">
        <f>Table1[[#This Row],[Total Cost]]+Table1[[#This Row],[PROFIT]]</f>
        <v>3500</v>
      </c>
    </row>
    <row r="142" spans="1:32" x14ac:dyDescent="0.3">
      <c r="A142">
        <v>141</v>
      </c>
      <c r="B142">
        <v>128</v>
      </c>
      <c r="C142">
        <v>1</v>
      </c>
      <c r="D142" t="s">
        <v>357</v>
      </c>
      <c r="E142">
        <v>5680</v>
      </c>
      <c r="F142">
        <v>750</v>
      </c>
      <c r="G142">
        <v>12</v>
      </c>
      <c r="H142" s="2">
        <v>42799.794444444437</v>
      </c>
      <c r="I142">
        <v>128</v>
      </c>
      <c r="J142" t="s">
        <v>105</v>
      </c>
      <c r="K142" t="s">
        <v>106</v>
      </c>
      <c r="L142" t="s">
        <v>95</v>
      </c>
      <c r="M142" t="s">
        <v>34</v>
      </c>
      <c r="N142" t="s">
        <v>35</v>
      </c>
      <c r="O142" t="s">
        <v>36</v>
      </c>
      <c r="P142">
        <v>89</v>
      </c>
      <c r="Q142">
        <v>4544</v>
      </c>
      <c r="R142">
        <v>500</v>
      </c>
      <c r="S142">
        <v>750</v>
      </c>
      <c r="T142">
        <v>150</v>
      </c>
      <c r="U142">
        <v>5680</v>
      </c>
      <c r="V142">
        <v>5944</v>
      </c>
      <c r="W142">
        <v>-4.4414535666218002E-2</v>
      </c>
      <c r="X142">
        <v>-264</v>
      </c>
      <c r="Y142" t="s">
        <v>44</v>
      </c>
      <c r="Z142" s="2">
        <v>42794</v>
      </c>
      <c r="AA142">
        <v>21</v>
      </c>
      <c r="AB142" t="s">
        <v>280</v>
      </c>
      <c r="AC142" t="s">
        <v>134</v>
      </c>
      <c r="AD142" t="s">
        <v>71</v>
      </c>
      <c r="AE142" t="str">
        <f t="shared" si="2"/>
        <v>Sunday</v>
      </c>
      <c r="AF142" s="12">
        <f>Table1[[#This Row],[Total Cost]]+Table1[[#This Row],[PROFIT]]</f>
        <v>5680</v>
      </c>
    </row>
    <row r="143" spans="1:32" x14ac:dyDescent="0.3">
      <c r="A143">
        <v>142</v>
      </c>
      <c r="B143">
        <v>129</v>
      </c>
      <c r="C143">
        <v>1</v>
      </c>
      <c r="D143" t="s">
        <v>358</v>
      </c>
      <c r="E143">
        <v>8550</v>
      </c>
      <c r="F143">
        <v>2266.5966386554619</v>
      </c>
      <c r="G143">
        <v>16</v>
      </c>
      <c r="H143" s="2">
        <v>42799.586111111108</v>
      </c>
      <c r="I143">
        <v>129</v>
      </c>
      <c r="J143" t="s">
        <v>124</v>
      </c>
      <c r="K143" t="s">
        <v>125</v>
      </c>
      <c r="L143" t="s">
        <v>110</v>
      </c>
      <c r="M143" t="s">
        <v>64</v>
      </c>
      <c r="N143" t="s">
        <v>65</v>
      </c>
      <c r="O143" t="s">
        <v>36</v>
      </c>
      <c r="P143">
        <v>87</v>
      </c>
      <c r="Q143">
        <v>6840</v>
      </c>
      <c r="R143">
        <v>500</v>
      </c>
      <c r="S143">
        <v>750</v>
      </c>
      <c r="T143">
        <v>150</v>
      </c>
      <c r="U143">
        <v>8550</v>
      </c>
      <c r="V143">
        <v>8240</v>
      </c>
      <c r="W143">
        <v>3.762135922330101E-2</v>
      </c>
      <c r="X143">
        <v>310</v>
      </c>
      <c r="Y143" t="s">
        <v>73</v>
      </c>
      <c r="Z143" s="2">
        <v>42794</v>
      </c>
      <c r="AA143">
        <v>21</v>
      </c>
      <c r="AB143" t="s">
        <v>138</v>
      </c>
      <c r="AC143" t="s">
        <v>134</v>
      </c>
      <c r="AD143" t="s">
        <v>71</v>
      </c>
      <c r="AE143" t="str">
        <f t="shared" si="2"/>
        <v>Sunday</v>
      </c>
      <c r="AF143" s="12">
        <f>Table1[[#This Row],[Total Cost]]+Table1[[#This Row],[PROFIT]]</f>
        <v>8550</v>
      </c>
    </row>
    <row r="144" spans="1:32" x14ac:dyDescent="0.3">
      <c r="A144">
        <v>143</v>
      </c>
      <c r="B144">
        <v>130</v>
      </c>
      <c r="C144">
        <v>1</v>
      </c>
      <c r="D144" t="s">
        <v>359</v>
      </c>
      <c r="E144">
        <v>156500</v>
      </c>
      <c r="F144">
        <v>10000</v>
      </c>
      <c r="G144">
        <v>26</v>
      </c>
      <c r="H144" s="2">
        <v>42804.836805555547</v>
      </c>
      <c r="I144">
        <v>130</v>
      </c>
      <c r="J144" t="s">
        <v>205</v>
      </c>
      <c r="K144" t="s">
        <v>206</v>
      </c>
      <c r="L144" t="s">
        <v>207</v>
      </c>
      <c r="M144" t="s">
        <v>34</v>
      </c>
      <c r="N144" t="s">
        <v>35</v>
      </c>
      <c r="O144" t="s">
        <v>36</v>
      </c>
      <c r="P144">
        <v>78</v>
      </c>
      <c r="Q144">
        <v>125200</v>
      </c>
      <c r="R144">
        <v>2000</v>
      </c>
      <c r="S144">
        <v>1500</v>
      </c>
      <c r="T144">
        <v>1950</v>
      </c>
      <c r="U144">
        <v>156500</v>
      </c>
      <c r="V144">
        <v>130650</v>
      </c>
      <c r="W144">
        <v>0.19785686949866041</v>
      </c>
      <c r="X144">
        <v>25850</v>
      </c>
      <c r="Y144" t="s">
        <v>44</v>
      </c>
      <c r="Z144" s="2">
        <v>42802</v>
      </c>
      <c r="AA144">
        <v>17</v>
      </c>
      <c r="AB144" t="s">
        <v>360</v>
      </c>
      <c r="AC144" t="s">
        <v>361</v>
      </c>
      <c r="AD144" t="s">
        <v>40</v>
      </c>
      <c r="AE144" t="str">
        <f t="shared" si="2"/>
        <v>Friday</v>
      </c>
      <c r="AF144" s="12">
        <f>Table1[[#This Row],[Total Cost]]+Table1[[#This Row],[PROFIT]]</f>
        <v>156500</v>
      </c>
    </row>
    <row r="145" spans="1:32" x14ac:dyDescent="0.3">
      <c r="A145">
        <v>144</v>
      </c>
      <c r="B145">
        <v>131</v>
      </c>
      <c r="C145">
        <v>1</v>
      </c>
      <c r="D145" t="s">
        <v>362</v>
      </c>
      <c r="E145">
        <v>56500</v>
      </c>
      <c r="F145">
        <v>2266.5966386554619</v>
      </c>
      <c r="G145">
        <v>25</v>
      </c>
      <c r="H145" s="2">
        <v>42804.670138888891</v>
      </c>
      <c r="I145">
        <v>131</v>
      </c>
      <c r="J145" t="s">
        <v>188</v>
      </c>
      <c r="K145" t="s">
        <v>189</v>
      </c>
      <c r="L145" t="s">
        <v>190</v>
      </c>
      <c r="M145" t="s">
        <v>34</v>
      </c>
      <c r="N145" t="s">
        <v>35</v>
      </c>
      <c r="O145" t="s">
        <v>36</v>
      </c>
      <c r="P145">
        <v>25</v>
      </c>
      <c r="Q145">
        <v>45200</v>
      </c>
      <c r="R145">
        <v>660</v>
      </c>
      <c r="S145">
        <v>750</v>
      </c>
      <c r="T145">
        <v>550</v>
      </c>
      <c r="U145">
        <v>56500</v>
      </c>
      <c r="V145">
        <v>47160</v>
      </c>
      <c r="W145">
        <v>0.19804919423240031</v>
      </c>
      <c r="X145">
        <v>9340</v>
      </c>
      <c r="Y145" t="s">
        <v>126</v>
      </c>
      <c r="Z145" s="2">
        <v>42802</v>
      </c>
      <c r="AA145">
        <v>4</v>
      </c>
      <c r="AB145" t="s">
        <v>245</v>
      </c>
      <c r="AC145" t="s">
        <v>70</v>
      </c>
      <c r="AD145" t="s">
        <v>71</v>
      </c>
      <c r="AE145" t="str">
        <f t="shared" si="2"/>
        <v>Friday</v>
      </c>
      <c r="AF145" s="12">
        <f>Table1[[#This Row],[Total Cost]]+Table1[[#This Row],[PROFIT]]</f>
        <v>56500</v>
      </c>
    </row>
    <row r="146" spans="1:32" x14ac:dyDescent="0.3">
      <c r="A146">
        <v>145</v>
      </c>
      <c r="B146">
        <v>132</v>
      </c>
      <c r="C146">
        <v>1</v>
      </c>
      <c r="D146" t="s">
        <v>363</v>
      </c>
      <c r="E146">
        <v>86500</v>
      </c>
      <c r="F146">
        <v>1250</v>
      </c>
      <c r="G146">
        <v>34</v>
      </c>
      <c r="H146" s="2">
        <v>42806.712500000001</v>
      </c>
      <c r="I146">
        <v>132</v>
      </c>
      <c r="J146" t="s">
        <v>263</v>
      </c>
      <c r="K146" t="s">
        <v>264</v>
      </c>
      <c r="L146" t="s">
        <v>265</v>
      </c>
      <c r="M146" t="s">
        <v>266</v>
      </c>
      <c r="N146" t="s">
        <v>267</v>
      </c>
      <c r="O146" t="s">
        <v>36</v>
      </c>
      <c r="P146">
        <v>29</v>
      </c>
      <c r="Q146">
        <v>69200</v>
      </c>
      <c r="R146">
        <v>2000</v>
      </c>
      <c r="S146">
        <v>1500</v>
      </c>
      <c r="T146">
        <v>750</v>
      </c>
      <c r="U146">
        <v>86500</v>
      </c>
      <c r="V146">
        <v>73450</v>
      </c>
      <c r="W146">
        <v>0.17767188563648739</v>
      </c>
      <c r="X146">
        <v>13050</v>
      </c>
      <c r="Y146" t="s">
        <v>126</v>
      </c>
      <c r="Z146" s="2">
        <v>42802</v>
      </c>
      <c r="AA146">
        <v>4</v>
      </c>
      <c r="AB146" t="s">
        <v>253</v>
      </c>
      <c r="AC146" t="s">
        <v>70</v>
      </c>
      <c r="AD146" t="s">
        <v>71</v>
      </c>
      <c r="AE146" t="str">
        <f t="shared" si="2"/>
        <v>Sunday</v>
      </c>
      <c r="AF146" s="12">
        <f>Table1[[#This Row],[Total Cost]]+Table1[[#This Row],[PROFIT]]</f>
        <v>86500</v>
      </c>
    </row>
    <row r="147" spans="1:32" x14ac:dyDescent="0.3">
      <c r="A147">
        <v>146</v>
      </c>
      <c r="B147">
        <v>133</v>
      </c>
      <c r="C147">
        <v>1</v>
      </c>
      <c r="D147" t="s">
        <v>364</v>
      </c>
      <c r="E147">
        <v>66500</v>
      </c>
      <c r="F147">
        <v>2266.5966386554619</v>
      </c>
      <c r="G147">
        <v>1</v>
      </c>
      <c r="H147" s="2">
        <v>42806.837500000001</v>
      </c>
      <c r="I147">
        <v>133</v>
      </c>
      <c r="J147" t="s">
        <v>31</v>
      </c>
      <c r="K147" t="s">
        <v>32</v>
      </c>
      <c r="L147" t="s">
        <v>33</v>
      </c>
      <c r="M147" t="s">
        <v>34</v>
      </c>
      <c r="N147" t="s">
        <v>35</v>
      </c>
      <c r="O147" t="s">
        <v>36</v>
      </c>
      <c r="P147">
        <v>27</v>
      </c>
      <c r="Q147">
        <v>53200</v>
      </c>
      <c r="R147">
        <v>2175</v>
      </c>
      <c r="S147">
        <v>1500</v>
      </c>
      <c r="T147">
        <v>750</v>
      </c>
      <c r="U147">
        <v>66500</v>
      </c>
      <c r="V147">
        <v>57625</v>
      </c>
      <c r="W147">
        <v>0.15401301518438171</v>
      </c>
      <c r="X147">
        <v>8875</v>
      </c>
      <c r="Y147" t="s">
        <v>73</v>
      </c>
      <c r="Z147" s="2">
        <v>42802</v>
      </c>
      <c r="AA147">
        <v>4</v>
      </c>
      <c r="AB147" t="s">
        <v>268</v>
      </c>
      <c r="AC147" t="s">
        <v>70</v>
      </c>
      <c r="AD147" t="s">
        <v>71</v>
      </c>
      <c r="AE147" t="str">
        <f t="shared" si="2"/>
        <v>Sunday</v>
      </c>
      <c r="AF147" s="12">
        <f>Table1[[#This Row],[Total Cost]]+Table1[[#This Row],[PROFIT]]</f>
        <v>66500</v>
      </c>
    </row>
    <row r="148" spans="1:32" x14ac:dyDescent="0.3">
      <c r="A148">
        <v>147</v>
      </c>
      <c r="B148">
        <v>134</v>
      </c>
      <c r="C148">
        <v>1</v>
      </c>
      <c r="D148" t="s">
        <v>365</v>
      </c>
      <c r="E148">
        <v>55600</v>
      </c>
      <c r="F148">
        <v>2266.5966386554619</v>
      </c>
      <c r="G148">
        <v>5</v>
      </c>
      <c r="H148" s="2">
        <v>42819.421527777777</v>
      </c>
      <c r="I148">
        <v>134</v>
      </c>
      <c r="J148" t="s">
        <v>61</v>
      </c>
      <c r="K148" t="s">
        <v>62</v>
      </c>
      <c r="L148" t="s">
        <v>63</v>
      </c>
      <c r="M148" t="s">
        <v>64</v>
      </c>
      <c r="N148" t="s">
        <v>65</v>
      </c>
      <c r="O148" t="s">
        <v>36</v>
      </c>
      <c r="P148">
        <v>14</v>
      </c>
      <c r="Q148">
        <v>44480</v>
      </c>
      <c r="R148">
        <v>660</v>
      </c>
      <c r="S148">
        <v>750</v>
      </c>
      <c r="T148">
        <v>550</v>
      </c>
      <c r="U148">
        <v>55600</v>
      </c>
      <c r="V148">
        <v>46440</v>
      </c>
      <c r="W148">
        <v>0.1972437553832902</v>
      </c>
      <c r="X148">
        <v>9160</v>
      </c>
      <c r="Y148" t="s">
        <v>103</v>
      </c>
      <c r="Z148" s="2">
        <v>42806</v>
      </c>
      <c r="AA148">
        <v>2</v>
      </c>
      <c r="AB148" t="s">
        <v>225</v>
      </c>
      <c r="AC148" t="s">
        <v>51</v>
      </c>
      <c r="AD148" t="s">
        <v>52</v>
      </c>
      <c r="AE148" t="str">
        <f t="shared" si="2"/>
        <v>Saturday</v>
      </c>
      <c r="AF148" s="12">
        <f>Table1[[#This Row],[Total Cost]]+Table1[[#This Row],[PROFIT]]</f>
        <v>55600</v>
      </c>
    </row>
    <row r="149" spans="1:32" x14ac:dyDescent="0.3">
      <c r="A149">
        <v>148</v>
      </c>
      <c r="B149">
        <v>135</v>
      </c>
      <c r="C149">
        <v>1</v>
      </c>
      <c r="D149" t="s">
        <v>366</v>
      </c>
      <c r="E149">
        <v>305000</v>
      </c>
      <c r="F149">
        <v>2266.5966386554619</v>
      </c>
      <c r="G149">
        <v>23</v>
      </c>
      <c r="H149" s="2">
        <v>42824.546527777777</v>
      </c>
      <c r="I149">
        <v>135</v>
      </c>
      <c r="J149" t="s">
        <v>174</v>
      </c>
      <c r="K149" t="s">
        <v>175</v>
      </c>
      <c r="L149" t="s">
        <v>176</v>
      </c>
      <c r="M149" t="s">
        <v>57</v>
      </c>
      <c r="N149" t="s">
        <v>58</v>
      </c>
      <c r="O149" t="s">
        <v>36</v>
      </c>
      <c r="P149">
        <v>19</v>
      </c>
      <c r="Q149">
        <v>244000</v>
      </c>
      <c r="R149">
        <v>3950</v>
      </c>
      <c r="S149">
        <v>3150</v>
      </c>
      <c r="T149">
        <v>1950</v>
      </c>
      <c r="U149">
        <v>305000</v>
      </c>
      <c r="V149">
        <v>253050</v>
      </c>
      <c r="W149">
        <v>0.2052953961667654</v>
      </c>
      <c r="X149">
        <v>51950</v>
      </c>
      <c r="Y149" t="s">
        <v>103</v>
      </c>
      <c r="Z149" s="2">
        <v>42806</v>
      </c>
      <c r="AA149">
        <v>3</v>
      </c>
      <c r="AB149" t="s">
        <v>367</v>
      </c>
      <c r="AC149" t="s">
        <v>181</v>
      </c>
      <c r="AD149" t="s">
        <v>40</v>
      </c>
      <c r="AE149" t="str">
        <f t="shared" si="2"/>
        <v>Thursday</v>
      </c>
      <c r="AF149" s="12">
        <f>Table1[[#This Row],[Total Cost]]+Table1[[#This Row],[PROFIT]]</f>
        <v>305000</v>
      </c>
    </row>
    <row r="150" spans="1:32" x14ac:dyDescent="0.3">
      <c r="A150">
        <v>149</v>
      </c>
      <c r="B150">
        <v>136</v>
      </c>
      <c r="C150">
        <v>1</v>
      </c>
      <c r="D150" t="s">
        <v>368</v>
      </c>
      <c r="E150">
        <v>45000</v>
      </c>
      <c r="F150">
        <v>2266.5966386554619</v>
      </c>
      <c r="G150">
        <v>28</v>
      </c>
      <c r="H150" s="2">
        <v>42825.547222222223</v>
      </c>
      <c r="I150">
        <v>136</v>
      </c>
      <c r="J150" t="s">
        <v>212</v>
      </c>
      <c r="K150" t="s">
        <v>213</v>
      </c>
      <c r="L150" t="s">
        <v>84</v>
      </c>
      <c r="M150" t="s">
        <v>64</v>
      </c>
      <c r="N150" t="s">
        <v>65</v>
      </c>
      <c r="O150" t="s">
        <v>36</v>
      </c>
      <c r="P150">
        <v>24</v>
      </c>
      <c r="Q150">
        <v>36000</v>
      </c>
      <c r="R150">
        <v>1250</v>
      </c>
      <c r="S150">
        <v>750</v>
      </c>
      <c r="T150">
        <v>550</v>
      </c>
      <c r="U150">
        <v>45000</v>
      </c>
      <c r="V150">
        <v>38550</v>
      </c>
      <c r="W150">
        <v>0.16731517509727631</v>
      </c>
      <c r="X150">
        <v>6450</v>
      </c>
      <c r="Y150" t="s">
        <v>68</v>
      </c>
      <c r="Z150" s="2">
        <v>42124</v>
      </c>
      <c r="AA150">
        <v>4</v>
      </c>
      <c r="AB150" t="s">
        <v>80</v>
      </c>
      <c r="AC150" t="s">
        <v>70</v>
      </c>
      <c r="AD150" t="s">
        <v>71</v>
      </c>
      <c r="AE150" t="str">
        <f t="shared" si="2"/>
        <v>Friday</v>
      </c>
      <c r="AF150" s="12">
        <f>Table1[[#This Row],[Total Cost]]+Table1[[#This Row],[PROFIT]]</f>
        <v>45000</v>
      </c>
    </row>
    <row r="151" spans="1:32" x14ac:dyDescent="0.3">
      <c r="A151">
        <v>150</v>
      </c>
      <c r="B151">
        <v>137</v>
      </c>
      <c r="C151">
        <v>1</v>
      </c>
      <c r="D151" t="s">
        <v>369</v>
      </c>
      <c r="E151">
        <v>225000</v>
      </c>
      <c r="F151">
        <v>2266.5966386554619</v>
      </c>
      <c r="G151">
        <v>29</v>
      </c>
      <c r="H151" s="2">
        <v>42825.672222222223</v>
      </c>
      <c r="I151">
        <v>137</v>
      </c>
      <c r="J151" t="s">
        <v>217</v>
      </c>
      <c r="K151" t="s">
        <v>218</v>
      </c>
      <c r="L151" t="s">
        <v>78</v>
      </c>
      <c r="M151" t="s">
        <v>34</v>
      </c>
      <c r="N151" t="s">
        <v>35</v>
      </c>
      <c r="O151" t="s">
        <v>36</v>
      </c>
      <c r="P151">
        <v>24</v>
      </c>
      <c r="Q151">
        <v>180000</v>
      </c>
      <c r="R151">
        <v>5500</v>
      </c>
      <c r="S151">
        <v>3150</v>
      </c>
      <c r="T151">
        <v>1950</v>
      </c>
      <c r="U151">
        <v>225000</v>
      </c>
      <c r="V151">
        <v>190600</v>
      </c>
      <c r="W151">
        <v>0.18048268625393499</v>
      </c>
      <c r="X151">
        <v>34400</v>
      </c>
      <c r="Y151" t="s">
        <v>73</v>
      </c>
      <c r="Z151" s="2">
        <v>42576</v>
      </c>
      <c r="AA151">
        <v>4</v>
      </c>
      <c r="AB151" t="s">
        <v>80</v>
      </c>
      <c r="AC151" t="s">
        <v>70</v>
      </c>
      <c r="AD151" t="s">
        <v>71</v>
      </c>
      <c r="AE151" t="str">
        <f t="shared" si="2"/>
        <v>Friday</v>
      </c>
      <c r="AF151" s="12">
        <f>Table1[[#This Row],[Total Cost]]+Table1[[#This Row],[PROFIT]]</f>
        <v>225000</v>
      </c>
    </row>
    <row r="152" spans="1:32" x14ac:dyDescent="0.3">
      <c r="A152">
        <v>151</v>
      </c>
      <c r="B152">
        <v>138</v>
      </c>
      <c r="C152">
        <v>1</v>
      </c>
      <c r="D152" t="s">
        <v>370</v>
      </c>
      <c r="E152">
        <v>42950</v>
      </c>
      <c r="F152">
        <v>2266.5966386554619</v>
      </c>
      <c r="G152">
        <v>37</v>
      </c>
      <c r="H152" s="2">
        <v>42825.756249999999</v>
      </c>
      <c r="I152">
        <v>138</v>
      </c>
      <c r="J152" t="s">
        <v>273</v>
      </c>
      <c r="K152" t="s">
        <v>276</v>
      </c>
      <c r="L152" t="s">
        <v>95</v>
      </c>
      <c r="M152" t="s">
        <v>34</v>
      </c>
      <c r="N152" t="s">
        <v>35</v>
      </c>
      <c r="O152" t="s">
        <v>36</v>
      </c>
      <c r="P152">
        <v>23</v>
      </c>
      <c r="Q152">
        <v>34360</v>
      </c>
      <c r="R152">
        <v>970</v>
      </c>
      <c r="S152">
        <v>750</v>
      </c>
      <c r="T152">
        <v>550</v>
      </c>
      <c r="U152">
        <v>42950</v>
      </c>
      <c r="V152">
        <v>36630</v>
      </c>
      <c r="W152">
        <v>0.17253617253617251</v>
      </c>
      <c r="X152">
        <v>6320</v>
      </c>
      <c r="Y152" t="s">
        <v>68</v>
      </c>
      <c r="Z152" s="2">
        <v>42823</v>
      </c>
      <c r="AA152">
        <v>4</v>
      </c>
      <c r="AB152" t="s">
        <v>74</v>
      </c>
      <c r="AC152" t="s">
        <v>70</v>
      </c>
      <c r="AD152" t="s">
        <v>71</v>
      </c>
      <c r="AE152" t="str">
        <f t="shared" si="2"/>
        <v>Friday</v>
      </c>
      <c r="AF152" s="12">
        <f>Table1[[#This Row],[Total Cost]]+Table1[[#This Row],[PROFIT]]</f>
        <v>42950</v>
      </c>
    </row>
    <row r="153" spans="1:32" x14ac:dyDescent="0.3">
      <c r="A153">
        <v>152</v>
      </c>
      <c r="B153">
        <v>139</v>
      </c>
      <c r="C153">
        <v>1</v>
      </c>
      <c r="D153" t="s">
        <v>371</v>
      </c>
      <c r="E153">
        <v>990</v>
      </c>
      <c r="F153">
        <v>2266.5966386554619</v>
      </c>
      <c r="G153">
        <v>31</v>
      </c>
      <c r="H153" s="2">
        <v>42825.589583333327</v>
      </c>
      <c r="I153">
        <v>139</v>
      </c>
      <c r="J153" t="s">
        <v>227</v>
      </c>
      <c r="K153" t="s">
        <v>228</v>
      </c>
      <c r="L153" t="s">
        <v>78</v>
      </c>
      <c r="M153" t="s">
        <v>34</v>
      </c>
      <c r="N153" t="s">
        <v>35</v>
      </c>
      <c r="O153" t="s">
        <v>36</v>
      </c>
      <c r="P153">
        <v>65</v>
      </c>
      <c r="Q153">
        <v>792</v>
      </c>
      <c r="R153">
        <v>500</v>
      </c>
      <c r="S153">
        <v>150</v>
      </c>
      <c r="T153">
        <v>150</v>
      </c>
      <c r="U153">
        <v>990</v>
      </c>
      <c r="V153">
        <v>1592</v>
      </c>
      <c r="W153">
        <v>-0.37814070351758799</v>
      </c>
      <c r="X153">
        <v>-602</v>
      </c>
      <c r="Y153" t="s">
        <v>49</v>
      </c>
      <c r="Z153" s="2">
        <v>42824</v>
      </c>
      <c r="AA153">
        <v>13</v>
      </c>
      <c r="AB153" t="s">
        <v>372</v>
      </c>
      <c r="AC153" t="s">
        <v>373</v>
      </c>
      <c r="AD153" t="s">
        <v>374</v>
      </c>
      <c r="AE153" t="str">
        <f t="shared" si="2"/>
        <v>Friday</v>
      </c>
      <c r="AF153" s="12">
        <f>Table1[[#This Row],[Total Cost]]+Table1[[#This Row],[PROFIT]]</f>
        <v>990</v>
      </c>
    </row>
    <row r="154" spans="1:32" x14ac:dyDescent="0.3">
      <c r="A154">
        <v>153</v>
      </c>
      <c r="B154">
        <v>140</v>
      </c>
      <c r="C154">
        <v>1</v>
      </c>
      <c r="D154" t="s">
        <v>375</v>
      </c>
      <c r="E154">
        <v>29500</v>
      </c>
      <c r="F154">
        <v>1500</v>
      </c>
      <c r="G154">
        <v>32</v>
      </c>
      <c r="H154" s="2">
        <v>42830.840277777781</v>
      </c>
      <c r="I154">
        <v>140</v>
      </c>
      <c r="J154" t="s">
        <v>231</v>
      </c>
      <c r="K154" t="s">
        <v>232</v>
      </c>
      <c r="L154" t="s">
        <v>233</v>
      </c>
      <c r="M154" t="s">
        <v>234</v>
      </c>
      <c r="N154" t="s">
        <v>235</v>
      </c>
      <c r="O154" t="s">
        <v>36</v>
      </c>
      <c r="P154">
        <v>68</v>
      </c>
      <c r="Q154">
        <v>23600</v>
      </c>
      <c r="R154">
        <v>970</v>
      </c>
      <c r="S154">
        <v>750</v>
      </c>
      <c r="T154">
        <v>150</v>
      </c>
      <c r="U154">
        <v>29500</v>
      </c>
      <c r="V154">
        <v>25470</v>
      </c>
      <c r="W154">
        <v>0.15822536317235961</v>
      </c>
      <c r="X154">
        <v>4030</v>
      </c>
      <c r="Y154" t="s">
        <v>73</v>
      </c>
      <c r="Z154" s="2">
        <v>42826</v>
      </c>
      <c r="AA154">
        <v>14</v>
      </c>
      <c r="AB154" t="s">
        <v>376</v>
      </c>
      <c r="AC154" t="s">
        <v>377</v>
      </c>
      <c r="AD154" t="s">
        <v>374</v>
      </c>
      <c r="AE154" t="str">
        <f t="shared" si="2"/>
        <v>Wednesday</v>
      </c>
      <c r="AF154" s="12">
        <f>Table1[[#This Row],[Total Cost]]+Table1[[#This Row],[PROFIT]]</f>
        <v>29500</v>
      </c>
    </row>
    <row r="155" spans="1:32" x14ac:dyDescent="0.3">
      <c r="A155">
        <v>154</v>
      </c>
      <c r="B155">
        <v>141</v>
      </c>
      <c r="C155">
        <v>1</v>
      </c>
      <c r="D155" t="s">
        <v>378</v>
      </c>
      <c r="E155">
        <v>139500</v>
      </c>
      <c r="F155">
        <v>2266.5966386554619</v>
      </c>
      <c r="G155">
        <v>35</v>
      </c>
      <c r="H155" s="2">
        <v>42831.798611111109</v>
      </c>
      <c r="I155">
        <v>141</v>
      </c>
      <c r="J155" t="s">
        <v>270</v>
      </c>
      <c r="K155" t="s">
        <v>271</v>
      </c>
      <c r="L155" t="s">
        <v>84</v>
      </c>
      <c r="M155" t="s">
        <v>64</v>
      </c>
      <c r="N155" t="s">
        <v>65</v>
      </c>
      <c r="O155" t="s">
        <v>36</v>
      </c>
      <c r="P155">
        <v>41</v>
      </c>
      <c r="Q155">
        <v>111600</v>
      </c>
      <c r="R155">
        <v>9250</v>
      </c>
      <c r="S155">
        <v>2200</v>
      </c>
      <c r="T155">
        <v>1950</v>
      </c>
      <c r="U155">
        <v>139500</v>
      </c>
      <c r="V155">
        <v>125000</v>
      </c>
      <c r="W155">
        <v>0.1160000000000001</v>
      </c>
      <c r="X155">
        <v>14500</v>
      </c>
      <c r="Y155" t="s">
        <v>49</v>
      </c>
      <c r="Z155" s="2">
        <v>42826</v>
      </c>
      <c r="AA155">
        <v>6</v>
      </c>
      <c r="AB155" t="s">
        <v>379</v>
      </c>
      <c r="AC155" t="s">
        <v>303</v>
      </c>
      <c r="AD155" t="s">
        <v>71</v>
      </c>
      <c r="AE155" t="str">
        <f t="shared" si="2"/>
        <v>Thursday</v>
      </c>
      <c r="AF155" s="12">
        <f>Table1[[#This Row],[Total Cost]]+Table1[[#This Row],[PROFIT]]</f>
        <v>139500</v>
      </c>
    </row>
    <row r="156" spans="1:32" x14ac:dyDescent="0.3">
      <c r="A156">
        <v>155</v>
      </c>
      <c r="B156">
        <v>142</v>
      </c>
      <c r="C156">
        <v>1</v>
      </c>
      <c r="D156" t="s">
        <v>380</v>
      </c>
      <c r="E156">
        <v>295000</v>
      </c>
      <c r="F156">
        <v>2266.5966386554619</v>
      </c>
      <c r="G156">
        <v>26</v>
      </c>
      <c r="H156" s="2">
        <v>42832.507638888892</v>
      </c>
      <c r="I156">
        <v>142</v>
      </c>
      <c r="J156" t="s">
        <v>205</v>
      </c>
      <c r="K156" t="s">
        <v>206</v>
      </c>
      <c r="L156" t="s">
        <v>207</v>
      </c>
      <c r="M156" t="s">
        <v>34</v>
      </c>
      <c r="N156" t="s">
        <v>35</v>
      </c>
      <c r="O156" t="s">
        <v>36</v>
      </c>
      <c r="P156">
        <v>63</v>
      </c>
      <c r="Q156">
        <v>236000</v>
      </c>
      <c r="R156">
        <v>5500</v>
      </c>
      <c r="S156">
        <v>750</v>
      </c>
      <c r="T156">
        <v>1950</v>
      </c>
      <c r="U156">
        <v>295000</v>
      </c>
      <c r="V156">
        <v>244200</v>
      </c>
      <c r="W156">
        <v>0.20802620802620811</v>
      </c>
      <c r="X156">
        <v>50800</v>
      </c>
      <c r="Y156" t="s">
        <v>73</v>
      </c>
      <c r="Z156" s="2">
        <v>42826</v>
      </c>
      <c r="AA156">
        <v>12</v>
      </c>
      <c r="AB156" t="s">
        <v>381</v>
      </c>
      <c r="AC156" t="s">
        <v>382</v>
      </c>
      <c r="AD156" t="s">
        <v>374</v>
      </c>
      <c r="AE156" t="str">
        <f t="shared" si="2"/>
        <v>Friday</v>
      </c>
      <c r="AF156" s="12">
        <f>Table1[[#This Row],[Total Cost]]+Table1[[#This Row],[PROFIT]]</f>
        <v>295000</v>
      </c>
    </row>
    <row r="157" spans="1:32" x14ac:dyDescent="0.3">
      <c r="A157">
        <v>156</v>
      </c>
      <c r="B157">
        <v>143</v>
      </c>
      <c r="C157">
        <v>1</v>
      </c>
      <c r="D157" t="s">
        <v>383</v>
      </c>
      <c r="E157">
        <v>220500</v>
      </c>
      <c r="F157">
        <v>2266.5966386554619</v>
      </c>
      <c r="G157">
        <v>28</v>
      </c>
      <c r="H157" s="2">
        <v>42832.507638888892</v>
      </c>
      <c r="I157">
        <v>143</v>
      </c>
      <c r="J157" t="s">
        <v>212</v>
      </c>
      <c r="K157" t="s">
        <v>213</v>
      </c>
      <c r="L157" t="s">
        <v>84</v>
      </c>
      <c r="M157" t="s">
        <v>64</v>
      </c>
      <c r="N157" t="s">
        <v>65</v>
      </c>
      <c r="O157" t="s">
        <v>36</v>
      </c>
      <c r="P157">
        <v>62</v>
      </c>
      <c r="Q157">
        <v>176400</v>
      </c>
      <c r="R157">
        <v>9250</v>
      </c>
      <c r="S157">
        <v>2200</v>
      </c>
      <c r="T157">
        <v>1950</v>
      </c>
      <c r="U157">
        <v>220500</v>
      </c>
      <c r="V157">
        <v>189800</v>
      </c>
      <c r="W157">
        <v>0.16174920969441511</v>
      </c>
      <c r="X157">
        <v>30700</v>
      </c>
      <c r="Y157" t="s">
        <v>37</v>
      </c>
      <c r="Z157" s="2">
        <v>42830</v>
      </c>
      <c r="AA157">
        <v>12</v>
      </c>
      <c r="AB157" t="s">
        <v>384</v>
      </c>
      <c r="AC157" t="s">
        <v>382</v>
      </c>
      <c r="AD157" t="s">
        <v>374</v>
      </c>
      <c r="AE157" t="str">
        <f t="shared" si="2"/>
        <v>Friday</v>
      </c>
      <c r="AF157" s="12">
        <f>Table1[[#This Row],[Total Cost]]+Table1[[#This Row],[PROFIT]]</f>
        <v>220500</v>
      </c>
    </row>
    <row r="158" spans="1:32" x14ac:dyDescent="0.3">
      <c r="A158">
        <v>157</v>
      </c>
      <c r="B158">
        <v>144</v>
      </c>
      <c r="C158">
        <v>1</v>
      </c>
      <c r="D158" t="s">
        <v>385</v>
      </c>
      <c r="E158">
        <v>79500</v>
      </c>
      <c r="F158">
        <v>1500</v>
      </c>
      <c r="G158">
        <v>29</v>
      </c>
      <c r="H158" s="2">
        <v>42856.716666666667</v>
      </c>
      <c r="I158">
        <v>144</v>
      </c>
      <c r="J158" t="s">
        <v>217</v>
      </c>
      <c r="K158" t="s">
        <v>218</v>
      </c>
      <c r="L158" t="s">
        <v>78</v>
      </c>
      <c r="M158" t="s">
        <v>34</v>
      </c>
      <c r="N158" t="s">
        <v>35</v>
      </c>
      <c r="O158" t="s">
        <v>36</v>
      </c>
      <c r="P158">
        <v>35</v>
      </c>
      <c r="Q158">
        <v>63600</v>
      </c>
      <c r="R158">
        <v>500</v>
      </c>
      <c r="S158">
        <v>750</v>
      </c>
      <c r="T158">
        <v>750</v>
      </c>
      <c r="U158">
        <v>79500</v>
      </c>
      <c r="V158">
        <v>65600</v>
      </c>
      <c r="W158">
        <v>0.21189024390243899</v>
      </c>
      <c r="X158">
        <v>13900</v>
      </c>
      <c r="Y158" t="s">
        <v>37</v>
      </c>
      <c r="Z158" s="2">
        <v>42855</v>
      </c>
      <c r="AA158">
        <v>6</v>
      </c>
      <c r="AB158" t="s">
        <v>302</v>
      </c>
      <c r="AC158" t="s">
        <v>303</v>
      </c>
      <c r="AD158" t="s">
        <v>71</v>
      </c>
      <c r="AE158" t="str">
        <f t="shared" si="2"/>
        <v>Monday</v>
      </c>
      <c r="AF158" s="12">
        <f>Table1[[#This Row],[Total Cost]]+Table1[[#This Row],[PROFIT]]</f>
        <v>79500</v>
      </c>
    </row>
    <row r="159" spans="1:32" x14ac:dyDescent="0.3">
      <c r="A159">
        <v>158</v>
      </c>
      <c r="B159">
        <v>145</v>
      </c>
      <c r="C159">
        <v>1</v>
      </c>
      <c r="D159" t="s">
        <v>386</v>
      </c>
      <c r="E159">
        <v>162500</v>
      </c>
      <c r="F159">
        <v>2266.5966386554619</v>
      </c>
      <c r="G159">
        <v>27</v>
      </c>
      <c r="H159" s="2">
        <v>42856.425000000003</v>
      </c>
      <c r="I159">
        <v>145</v>
      </c>
      <c r="J159" t="s">
        <v>209</v>
      </c>
      <c r="K159" t="s">
        <v>210</v>
      </c>
      <c r="L159" t="s">
        <v>33</v>
      </c>
      <c r="M159" t="s">
        <v>34</v>
      </c>
      <c r="N159" t="s">
        <v>35</v>
      </c>
      <c r="O159" t="s">
        <v>36</v>
      </c>
      <c r="P159">
        <v>37</v>
      </c>
      <c r="Q159">
        <v>130000</v>
      </c>
      <c r="R159">
        <v>3950</v>
      </c>
      <c r="S159">
        <v>3150</v>
      </c>
      <c r="T159">
        <v>1950</v>
      </c>
      <c r="U159">
        <v>162500</v>
      </c>
      <c r="V159">
        <v>139050</v>
      </c>
      <c r="W159">
        <v>0.16864437252786771</v>
      </c>
      <c r="X159">
        <v>23450</v>
      </c>
      <c r="Y159" t="s">
        <v>37</v>
      </c>
      <c r="Z159" s="2">
        <v>42855</v>
      </c>
      <c r="AA159">
        <v>6</v>
      </c>
      <c r="AB159" t="s">
        <v>387</v>
      </c>
      <c r="AC159" t="s">
        <v>303</v>
      </c>
      <c r="AD159" t="s">
        <v>71</v>
      </c>
      <c r="AE159" t="str">
        <f t="shared" si="2"/>
        <v>Monday</v>
      </c>
      <c r="AF159" s="12">
        <f>Table1[[#This Row],[Total Cost]]+Table1[[#This Row],[PROFIT]]</f>
        <v>162500</v>
      </c>
    </row>
    <row r="160" spans="1:32" x14ac:dyDescent="0.3">
      <c r="A160">
        <v>159</v>
      </c>
      <c r="B160">
        <v>146</v>
      </c>
      <c r="C160">
        <v>1</v>
      </c>
      <c r="D160" t="s">
        <v>388</v>
      </c>
      <c r="E160">
        <v>79500</v>
      </c>
      <c r="F160">
        <v>2266.5966386554619</v>
      </c>
      <c r="G160">
        <v>41</v>
      </c>
      <c r="H160" s="2">
        <v>42864.759027777778</v>
      </c>
      <c r="I160">
        <v>146</v>
      </c>
      <c r="J160" t="s">
        <v>389</v>
      </c>
      <c r="K160" t="s">
        <v>390</v>
      </c>
      <c r="L160" t="s">
        <v>391</v>
      </c>
      <c r="M160" t="s">
        <v>240</v>
      </c>
      <c r="N160" t="s">
        <v>241</v>
      </c>
      <c r="O160" t="s">
        <v>36</v>
      </c>
      <c r="P160">
        <v>75</v>
      </c>
      <c r="Q160">
        <v>63600</v>
      </c>
      <c r="R160">
        <v>2175</v>
      </c>
      <c r="S160">
        <v>750</v>
      </c>
      <c r="T160">
        <v>750</v>
      </c>
      <c r="U160">
        <v>79500</v>
      </c>
      <c r="V160">
        <v>67275</v>
      </c>
      <c r="W160">
        <v>0.18171683389074689</v>
      </c>
      <c r="X160">
        <v>12225</v>
      </c>
      <c r="Y160" t="s">
        <v>73</v>
      </c>
      <c r="Z160" s="2">
        <v>42856</v>
      </c>
      <c r="AA160">
        <v>16</v>
      </c>
      <c r="AB160" t="s">
        <v>121</v>
      </c>
      <c r="AC160" t="s">
        <v>122</v>
      </c>
      <c r="AD160" t="s">
        <v>71</v>
      </c>
      <c r="AE160" t="str">
        <f t="shared" si="2"/>
        <v>Tuesday</v>
      </c>
      <c r="AF160" s="12">
        <f>Table1[[#This Row],[Total Cost]]+Table1[[#This Row],[PROFIT]]</f>
        <v>79500</v>
      </c>
    </row>
    <row r="161" spans="1:32" x14ac:dyDescent="0.3">
      <c r="A161">
        <v>160</v>
      </c>
      <c r="B161">
        <v>147</v>
      </c>
      <c r="C161">
        <v>1</v>
      </c>
      <c r="D161" t="s">
        <v>392</v>
      </c>
      <c r="E161">
        <v>65890</v>
      </c>
      <c r="F161">
        <v>2266.5966386554619</v>
      </c>
      <c r="G161">
        <v>42</v>
      </c>
      <c r="H161" s="2">
        <v>42864.509027777778</v>
      </c>
      <c r="I161">
        <v>147</v>
      </c>
      <c r="J161" t="s">
        <v>393</v>
      </c>
      <c r="K161" t="s">
        <v>394</v>
      </c>
      <c r="L161" t="s">
        <v>395</v>
      </c>
      <c r="M161" t="s">
        <v>234</v>
      </c>
      <c r="N161" t="s">
        <v>235</v>
      </c>
      <c r="O161" t="s">
        <v>36</v>
      </c>
      <c r="P161">
        <v>64</v>
      </c>
      <c r="Q161">
        <v>52712</v>
      </c>
      <c r="R161">
        <v>500</v>
      </c>
      <c r="S161">
        <v>750</v>
      </c>
      <c r="T161">
        <v>750</v>
      </c>
      <c r="U161">
        <v>65890</v>
      </c>
      <c r="V161">
        <v>54712</v>
      </c>
      <c r="W161">
        <v>0.20430618511478291</v>
      </c>
      <c r="X161">
        <v>11178</v>
      </c>
      <c r="Y161" t="s">
        <v>44</v>
      </c>
      <c r="Z161" s="2">
        <v>42857</v>
      </c>
      <c r="AA161">
        <v>13</v>
      </c>
      <c r="AB161" t="s">
        <v>396</v>
      </c>
      <c r="AC161" t="s">
        <v>373</v>
      </c>
      <c r="AD161" t="s">
        <v>374</v>
      </c>
      <c r="AE161" t="str">
        <f t="shared" si="2"/>
        <v>Tuesday</v>
      </c>
      <c r="AF161" s="12">
        <f>Table1[[#This Row],[Total Cost]]+Table1[[#This Row],[PROFIT]]</f>
        <v>65890</v>
      </c>
    </row>
    <row r="162" spans="1:32" x14ac:dyDescent="0.3">
      <c r="A162">
        <v>161</v>
      </c>
      <c r="B162">
        <v>148</v>
      </c>
      <c r="C162">
        <v>1</v>
      </c>
      <c r="D162" t="s">
        <v>397</v>
      </c>
      <c r="E162">
        <v>61500</v>
      </c>
      <c r="F162">
        <v>2266.5966386554619</v>
      </c>
      <c r="G162">
        <v>40</v>
      </c>
      <c r="H162" s="2">
        <v>42865.843055555553</v>
      </c>
      <c r="I162">
        <v>148</v>
      </c>
      <c r="J162" t="s">
        <v>312</v>
      </c>
      <c r="K162" t="s">
        <v>313</v>
      </c>
      <c r="L162" t="s">
        <v>239</v>
      </c>
      <c r="M162" t="s">
        <v>240</v>
      </c>
      <c r="N162" t="s">
        <v>241</v>
      </c>
      <c r="O162" t="s">
        <v>36</v>
      </c>
      <c r="P162">
        <v>21</v>
      </c>
      <c r="Q162">
        <v>49200</v>
      </c>
      <c r="R162">
        <v>1360</v>
      </c>
      <c r="S162">
        <v>750</v>
      </c>
      <c r="T162">
        <v>550</v>
      </c>
      <c r="U162">
        <v>61500</v>
      </c>
      <c r="V162">
        <v>51860</v>
      </c>
      <c r="W162">
        <v>0.18588507520246811</v>
      </c>
      <c r="X162">
        <v>9640</v>
      </c>
      <c r="Y162" t="s">
        <v>73</v>
      </c>
      <c r="Z162" s="2">
        <v>42857</v>
      </c>
      <c r="AA162">
        <v>4</v>
      </c>
      <c r="AB162" t="s">
        <v>398</v>
      </c>
      <c r="AC162" t="s">
        <v>70</v>
      </c>
      <c r="AD162" t="s">
        <v>71</v>
      </c>
      <c r="AE162" t="str">
        <f t="shared" si="2"/>
        <v>Wednesday</v>
      </c>
      <c r="AF162" s="12">
        <f>Table1[[#This Row],[Total Cost]]+Table1[[#This Row],[PROFIT]]</f>
        <v>61500</v>
      </c>
    </row>
    <row r="163" spans="1:32" x14ac:dyDescent="0.3">
      <c r="A163">
        <v>162</v>
      </c>
      <c r="B163">
        <v>149</v>
      </c>
      <c r="C163">
        <v>1</v>
      </c>
      <c r="D163" t="s">
        <v>399</v>
      </c>
      <c r="E163">
        <v>12500</v>
      </c>
      <c r="F163">
        <v>2266.5966386554619</v>
      </c>
      <c r="G163">
        <v>39</v>
      </c>
      <c r="H163" s="2">
        <v>42865.676388888889</v>
      </c>
      <c r="I163">
        <v>149</v>
      </c>
      <c r="J163" t="s">
        <v>309</v>
      </c>
      <c r="K163" t="s">
        <v>310</v>
      </c>
      <c r="L163" t="s">
        <v>233</v>
      </c>
      <c r="M163" t="s">
        <v>234</v>
      </c>
      <c r="N163" t="s">
        <v>235</v>
      </c>
      <c r="O163" t="s">
        <v>36</v>
      </c>
      <c r="P163">
        <v>12</v>
      </c>
      <c r="Q163">
        <v>10000</v>
      </c>
      <c r="R163">
        <v>500</v>
      </c>
      <c r="S163">
        <v>750</v>
      </c>
      <c r="T163">
        <v>150</v>
      </c>
      <c r="U163">
        <v>12500</v>
      </c>
      <c r="V163">
        <v>11400</v>
      </c>
      <c r="W163">
        <v>9.6491228070175517E-2</v>
      </c>
      <c r="X163">
        <v>1100</v>
      </c>
      <c r="Y163" t="s">
        <v>44</v>
      </c>
      <c r="Z163" s="2">
        <v>42858</v>
      </c>
      <c r="AA163">
        <v>2</v>
      </c>
      <c r="AB163" t="s">
        <v>59</v>
      </c>
      <c r="AC163" t="s">
        <v>51</v>
      </c>
      <c r="AD163" t="s">
        <v>52</v>
      </c>
      <c r="AE163" t="str">
        <f t="shared" si="2"/>
        <v>Wednesday</v>
      </c>
      <c r="AF163" s="12">
        <f>Table1[[#This Row],[Total Cost]]+Table1[[#This Row],[PROFIT]]</f>
        <v>12500</v>
      </c>
    </row>
    <row r="164" spans="1:32" x14ac:dyDescent="0.3">
      <c r="A164">
        <v>163</v>
      </c>
      <c r="B164">
        <v>150</v>
      </c>
      <c r="C164">
        <v>1</v>
      </c>
      <c r="D164" t="s">
        <v>400</v>
      </c>
      <c r="E164">
        <v>255000</v>
      </c>
      <c r="F164">
        <v>2266.5966386554619</v>
      </c>
      <c r="G164">
        <v>1</v>
      </c>
      <c r="H164" s="2">
        <v>42865.46875</v>
      </c>
      <c r="I164">
        <v>150</v>
      </c>
      <c r="J164" t="s">
        <v>31</v>
      </c>
      <c r="K164" t="s">
        <v>32</v>
      </c>
      <c r="L164" t="s">
        <v>33</v>
      </c>
      <c r="M164" t="s">
        <v>34</v>
      </c>
      <c r="N164" t="s">
        <v>35</v>
      </c>
      <c r="O164" t="s">
        <v>36</v>
      </c>
      <c r="P164">
        <v>10</v>
      </c>
      <c r="Q164">
        <v>204000</v>
      </c>
      <c r="R164">
        <v>9250</v>
      </c>
      <c r="S164">
        <v>1500</v>
      </c>
      <c r="T164">
        <v>1950</v>
      </c>
      <c r="U164">
        <v>255000</v>
      </c>
      <c r="V164">
        <v>216700</v>
      </c>
      <c r="W164">
        <v>0.17674203968620211</v>
      </c>
      <c r="X164">
        <v>38300</v>
      </c>
      <c r="Y164" t="s">
        <v>73</v>
      </c>
      <c r="Z164" s="2">
        <v>42858</v>
      </c>
      <c r="AA164">
        <v>1</v>
      </c>
      <c r="AB164" t="s">
        <v>345</v>
      </c>
      <c r="AC164" t="s">
        <v>39</v>
      </c>
      <c r="AD164" t="s">
        <v>40</v>
      </c>
      <c r="AE164" t="str">
        <f t="shared" si="2"/>
        <v>Wednesday</v>
      </c>
      <c r="AF164" s="12">
        <f>Table1[[#This Row],[Total Cost]]+Table1[[#This Row],[PROFIT]]</f>
        <v>255000</v>
      </c>
    </row>
    <row r="165" spans="1:32" x14ac:dyDescent="0.3">
      <c r="A165">
        <v>164</v>
      </c>
      <c r="B165">
        <v>151</v>
      </c>
      <c r="C165">
        <v>1</v>
      </c>
      <c r="D165" t="s">
        <v>401</v>
      </c>
      <c r="E165">
        <v>255950</v>
      </c>
      <c r="F165">
        <v>500</v>
      </c>
      <c r="G165">
        <v>43</v>
      </c>
      <c r="H165" s="2">
        <v>42867.552083333343</v>
      </c>
      <c r="I165">
        <v>151</v>
      </c>
      <c r="J165" t="s">
        <v>151</v>
      </c>
      <c r="K165" t="s">
        <v>402</v>
      </c>
      <c r="L165" t="s">
        <v>110</v>
      </c>
      <c r="M165" t="s">
        <v>64</v>
      </c>
      <c r="N165" t="s">
        <v>65</v>
      </c>
      <c r="O165" t="s">
        <v>36</v>
      </c>
      <c r="P165">
        <v>8</v>
      </c>
      <c r="Q165">
        <v>204760</v>
      </c>
      <c r="R165">
        <v>5500</v>
      </c>
      <c r="S165">
        <v>750</v>
      </c>
      <c r="T165">
        <v>1950</v>
      </c>
      <c r="U165">
        <v>255950</v>
      </c>
      <c r="V165">
        <v>212960</v>
      </c>
      <c r="W165">
        <v>0.20186889556724269</v>
      </c>
      <c r="X165">
        <v>42990</v>
      </c>
      <c r="Y165" t="s">
        <v>44</v>
      </c>
      <c r="Z165" s="2">
        <v>42866</v>
      </c>
      <c r="AA165">
        <v>1</v>
      </c>
      <c r="AB165" t="s">
        <v>403</v>
      </c>
      <c r="AC165" t="s">
        <v>39</v>
      </c>
      <c r="AD165" t="s">
        <v>40</v>
      </c>
      <c r="AE165" t="str">
        <f t="shared" si="2"/>
        <v>Friday</v>
      </c>
      <c r="AF165" s="12">
        <f>Table1[[#This Row],[Total Cost]]+Table1[[#This Row],[PROFIT]]</f>
        <v>255950</v>
      </c>
    </row>
    <row r="166" spans="1:32" x14ac:dyDescent="0.3">
      <c r="A166">
        <v>165</v>
      </c>
      <c r="B166">
        <v>152</v>
      </c>
      <c r="C166">
        <v>1</v>
      </c>
      <c r="D166" t="s">
        <v>404</v>
      </c>
      <c r="E166">
        <v>250000</v>
      </c>
      <c r="F166">
        <v>2450</v>
      </c>
      <c r="G166">
        <v>44</v>
      </c>
      <c r="H166" s="2">
        <v>42868.844444444447</v>
      </c>
      <c r="I166">
        <v>152</v>
      </c>
      <c r="J166" t="s">
        <v>405</v>
      </c>
      <c r="K166" t="s">
        <v>406</v>
      </c>
      <c r="L166" t="s">
        <v>132</v>
      </c>
      <c r="M166" t="s">
        <v>89</v>
      </c>
      <c r="N166" t="s">
        <v>90</v>
      </c>
      <c r="O166" t="s">
        <v>91</v>
      </c>
      <c r="P166">
        <v>7</v>
      </c>
      <c r="Q166">
        <v>200000</v>
      </c>
      <c r="R166">
        <v>3950</v>
      </c>
      <c r="S166">
        <v>3150</v>
      </c>
      <c r="T166">
        <v>1950</v>
      </c>
      <c r="U166">
        <v>250000</v>
      </c>
      <c r="V166">
        <v>209050</v>
      </c>
      <c r="W166">
        <v>0.19588615163836409</v>
      </c>
      <c r="X166">
        <v>40950</v>
      </c>
      <c r="Y166" t="s">
        <v>73</v>
      </c>
      <c r="Z166" s="2">
        <v>42867</v>
      </c>
      <c r="AA166">
        <v>1</v>
      </c>
      <c r="AB166" t="s">
        <v>407</v>
      </c>
      <c r="AC166" t="s">
        <v>39</v>
      </c>
      <c r="AD166" t="s">
        <v>40</v>
      </c>
      <c r="AE166" t="str">
        <f t="shared" si="2"/>
        <v>Saturday</v>
      </c>
      <c r="AF166" s="12">
        <f>Table1[[#This Row],[Total Cost]]+Table1[[#This Row],[PROFIT]]</f>
        <v>250000</v>
      </c>
    </row>
    <row r="167" spans="1:32" x14ac:dyDescent="0.3">
      <c r="A167">
        <v>166</v>
      </c>
      <c r="B167">
        <v>153</v>
      </c>
      <c r="C167">
        <v>1</v>
      </c>
      <c r="D167" t="s">
        <v>408</v>
      </c>
      <c r="E167">
        <v>6500</v>
      </c>
      <c r="F167">
        <v>2266.5966386554619</v>
      </c>
      <c r="G167">
        <v>33</v>
      </c>
      <c r="H167" s="2">
        <v>42871.677777777782</v>
      </c>
      <c r="I167">
        <v>153</v>
      </c>
      <c r="J167" t="s">
        <v>237</v>
      </c>
      <c r="K167" t="s">
        <v>238</v>
      </c>
      <c r="L167" t="s">
        <v>239</v>
      </c>
      <c r="M167" t="s">
        <v>240</v>
      </c>
      <c r="N167" t="s">
        <v>241</v>
      </c>
      <c r="O167" t="s">
        <v>36</v>
      </c>
      <c r="P167">
        <v>54</v>
      </c>
      <c r="Q167">
        <v>5200</v>
      </c>
      <c r="R167">
        <v>500</v>
      </c>
      <c r="S167">
        <v>750</v>
      </c>
      <c r="T167">
        <v>150</v>
      </c>
      <c r="U167">
        <v>6500</v>
      </c>
      <c r="V167">
        <v>6600</v>
      </c>
      <c r="W167">
        <v>-1.515151515151514E-2</v>
      </c>
      <c r="X167">
        <v>-100</v>
      </c>
      <c r="Y167" t="s">
        <v>44</v>
      </c>
      <c r="Z167" s="2">
        <v>42870</v>
      </c>
      <c r="AA167">
        <v>9</v>
      </c>
      <c r="AB167" t="s">
        <v>348</v>
      </c>
      <c r="AC167" t="s">
        <v>117</v>
      </c>
      <c r="AD167" t="s">
        <v>40</v>
      </c>
      <c r="AE167" t="str">
        <f t="shared" si="2"/>
        <v>Tuesday</v>
      </c>
      <c r="AF167" s="12">
        <f>Table1[[#This Row],[Total Cost]]+Table1[[#This Row],[PROFIT]]</f>
        <v>6500</v>
      </c>
    </row>
    <row r="168" spans="1:32" x14ac:dyDescent="0.3">
      <c r="A168">
        <v>167</v>
      </c>
      <c r="B168">
        <v>154</v>
      </c>
      <c r="C168">
        <v>1</v>
      </c>
      <c r="D168" t="s">
        <v>409</v>
      </c>
      <c r="E168">
        <v>9250</v>
      </c>
      <c r="F168">
        <v>2266.5966386554619</v>
      </c>
      <c r="G168">
        <v>22</v>
      </c>
      <c r="H168" s="2">
        <v>42874.886805555558</v>
      </c>
      <c r="I168">
        <v>154</v>
      </c>
      <c r="J168" t="s">
        <v>171</v>
      </c>
      <c r="K168" t="s">
        <v>172</v>
      </c>
      <c r="L168" t="s">
        <v>142</v>
      </c>
      <c r="M168" t="s">
        <v>34</v>
      </c>
      <c r="N168" t="s">
        <v>35</v>
      </c>
      <c r="O168" t="s">
        <v>36</v>
      </c>
      <c r="P168">
        <v>90</v>
      </c>
      <c r="Q168">
        <v>7400</v>
      </c>
      <c r="R168">
        <v>500</v>
      </c>
      <c r="S168">
        <v>750</v>
      </c>
      <c r="T168">
        <v>150</v>
      </c>
      <c r="U168">
        <v>9250</v>
      </c>
      <c r="V168">
        <v>8800</v>
      </c>
      <c r="W168">
        <v>5.1136363636363542E-2</v>
      </c>
      <c r="X168">
        <v>450</v>
      </c>
      <c r="Y168" t="s">
        <v>126</v>
      </c>
      <c r="Z168" s="2">
        <v>42873</v>
      </c>
      <c r="AA168">
        <v>21</v>
      </c>
      <c r="AB168" t="s">
        <v>282</v>
      </c>
      <c r="AC168" t="s">
        <v>134</v>
      </c>
      <c r="AD168" t="s">
        <v>71</v>
      </c>
      <c r="AE168" t="str">
        <f t="shared" si="2"/>
        <v>Friday</v>
      </c>
      <c r="AF168" s="12">
        <f>Table1[[#This Row],[Total Cost]]+Table1[[#This Row],[PROFIT]]</f>
        <v>9250</v>
      </c>
    </row>
    <row r="169" spans="1:32" x14ac:dyDescent="0.3">
      <c r="A169">
        <v>168</v>
      </c>
      <c r="B169">
        <v>155</v>
      </c>
      <c r="C169">
        <v>1</v>
      </c>
      <c r="D169" t="s">
        <v>410</v>
      </c>
      <c r="E169">
        <v>950</v>
      </c>
      <c r="F169">
        <v>2266.5966386554619</v>
      </c>
      <c r="G169">
        <v>11</v>
      </c>
      <c r="H169" s="2">
        <v>42875.595138888893</v>
      </c>
      <c r="I169">
        <v>155</v>
      </c>
      <c r="J169" t="s">
        <v>100</v>
      </c>
      <c r="K169" t="s">
        <v>101</v>
      </c>
      <c r="L169" t="s">
        <v>95</v>
      </c>
      <c r="M169" t="s">
        <v>34</v>
      </c>
      <c r="N169" t="s">
        <v>35</v>
      </c>
      <c r="O169" t="s">
        <v>36</v>
      </c>
      <c r="P169">
        <v>100</v>
      </c>
      <c r="Q169">
        <v>760</v>
      </c>
      <c r="R169">
        <v>500</v>
      </c>
      <c r="S169">
        <v>750</v>
      </c>
      <c r="T169">
        <v>150</v>
      </c>
      <c r="U169">
        <v>950</v>
      </c>
      <c r="V169">
        <v>2160</v>
      </c>
      <c r="W169">
        <v>-0.56018518518518512</v>
      </c>
      <c r="X169">
        <v>-1210</v>
      </c>
      <c r="Y169" t="s">
        <v>73</v>
      </c>
      <c r="Z169" s="2">
        <v>42874</v>
      </c>
      <c r="AA169">
        <v>24</v>
      </c>
      <c r="AB169" t="s">
        <v>411</v>
      </c>
      <c r="AC169" t="s">
        <v>412</v>
      </c>
      <c r="AD169" t="s">
        <v>374</v>
      </c>
      <c r="AE169" t="str">
        <f t="shared" si="2"/>
        <v>Saturday</v>
      </c>
      <c r="AF169" s="12">
        <f>Table1[[#This Row],[Total Cost]]+Table1[[#This Row],[PROFIT]]</f>
        <v>950</v>
      </c>
    </row>
    <row r="170" spans="1:32" x14ac:dyDescent="0.3">
      <c r="A170">
        <v>169</v>
      </c>
      <c r="B170">
        <v>156</v>
      </c>
      <c r="C170">
        <v>1</v>
      </c>
      <c r="D170" t="s">
        <v>413</v>
      </c>
      <c r="E170">
        <v>295000</v>
      </c>
      <c r="F170">
        <v>2266.5966386554619</v>
      </c>
      <c r="G170">
        <v>8</v>
      </c>
      <c r="H170" s="2">
        <v>42876.679166666669</v>
      </c>
      <c r="I170">
        <v>156</v>
      </c>
      <c r="J170" t="s">
        <v>82</v>
      </c>
      <c r="K170" t="s">
        <v>83</v>
      </c>
      <c r="L170" t="s">
        <v>84</v>
      </c>
      <c r="M170" t="s">
        <v>64</v>
      </c>
      <c r="N170" t="s">
        <v>65</v>
      </c>
      <c r="O170" t="s">
        <v>36</v>
      </c>
      <c r="P170">
        <v>80</v>
      </c>
      <c r="Q170">
        <v>236000</v>
      </c>
      <c r="R170">
        <v>9250</v>
      </c>
      <c r="S170">
        <v>3150</v>
      </c>
      <c r="T170">
        <v>1950</v>
      </c>
      <c r="U170">
        <v>295000</v>
      </c>
      <c r="V170">
        <v>250350</v>
      </c>
      <c r="W170">
        <v>0.1783503095666068</v>
      </c>
      <c r="X170">
        <v>44650</v>
      </c>
      <c r="Y170" t="s">
        <v>126</v>
      </c>
      <c r="Z170" s="2">
        <v>42875</v>
      </c>
      <c r="AA170">
        <v>18</v>
      </c>
      <c r="AB170" t="s">
        <v>414</v>
      </c>
      <c r="AC170" t="s">
        <v>415</v>
      </c>
      <c r="AD170" t="s">
        <v>71</v>
      </c>
      <c r="AE170" t="str">
        <f t="shared" si="2"/>
        <v>Sunday</v>
      </c>
      <c r="AF170" s="12">
        <f>Table1[[#This Row],[Total Cost]]+Table1[[#This Row],[PROFIT]]</f>
        <v>295000</v>
      </c>
    </row>
    <row r="171" spans="1:32" x14ac:dyDescent="0.3">
      <c r="A171">
        <v>170</v>
      </c>
      <c r="B171">
        <v>157</v>
      </c>
      <c r="C171">
        <v>1</v>
      </c>
      <c r="D171" t="s">
        <v>416</v>
      </c>
      <c r="E171">
        <v>99500</v>
      </c>
      <c r="F171">
        <v>2266.5966386554619</v>
      </c>
      <c r="G171">
        <v>45</v>
      </c>
      <c r="H171" s="2">
        <v>42877.470833333333</v>
      </c>
      <c r="I171">
        <v>157</v>
      </c>
      <c r="J171" t="s">
        <v>417</v>
      </c>
      <c r="K171" t="s">
        <v>418</v>
      </c>
      <c r="L171" t="s">
        <v>95</v>
      </c>
      <c r="M171" t="s">
        <v>34</v>
      </c>
      <c r="N171" t="s">
        <v>35</v>
      </c>
      <c r="O171" t="s">
        <v>36</v>
      </c>
      <c r="P171">
        <v>70</v>
      </c>
      <c r="Q171">
        <v>79600</v>
      </c>
      <c r="R171">
        <v>1490</v>
      </c>
      <c r="S171">
        <v>750</v>
      </c>
      <c r="T171">
        <v>750</v>
      </c>
      <c r="U171">
        <v>99500</v>
      </c>
      <c r="V171">
        <v>82590</v>
      </c>
      <c r="W171">
        <v>0.2047463373289744</v>
      </c>
      <c r="X171">
        <v>16910</v>
      </c>
      <c r="Y171" t="s">
        <v>68</v>
      </c>
      <c r="Z171" s="2">
        <v>42876</v>
      </c>
      <c r="AA171">
        <v>15</v>
      </c>
      <c r="AB171" t="s">
        <v>419</v>
      </c>
      <c r="AC171" t="s">
        <v>420</v>
      </c>
      <c r="AD171" t="s">
        <v>421</v>
      </c>
      <c r="AE171" t="str">
        <f t="shared" si="2"/>
        <v>Monday</v>
      </c>
      <c r="AF171" s="12">
        <f>Table1[[#This Row],[Total Cost]]+Table1[[#This Row],[PROFIT]]</f>
        <v>99500</v>
      </c>
    </row>
    <row r="172" spans="1:32" x14ac:dyDescent="0.3">
      <c r="A172">
        <v>171</v>
      </c>
      <c r="B172">
        <v>158</v>
      </c>
      <c r="C172">
        <v>1</v>
      </c>
      <c r="D172" t="s">
        <v>422</v>
      </c>
      <c r="E172">
        <v>33500</v>
      </c>
      <c r="F172">
        <v>750</v>
      </c>
      <c r="G172">
        <v>46</v>
      </c>
      <c r="H172" s="2">
        <v>42878.388194444437</v>
      </c>
      <c r="I172">
        <v>158</v>
      </c>
      <c r="J172" t="s">
        <v>423</v>
      </c>
      <c r="K172" t="s">
        <v>424</v>
      </c>
      <c r="L172" t="s">
        <v>110</v>
      </c>
      <c r="M172" t="s">
        <v>64</v>
      </c>
      <c r="N172" t="s">
        <v>65</v>
      </c>
      <c r="O172" t="s">
        <v>36</v>
      </c>
      <c r="P172">
        <v>60</v>
      </c>
      <c r="Q172">
        <v>26800</v>
      </c>
      <c r="R172">
        <v>500</v>
      </c>
      <c r="S172">
        <v>750</v>
      </c>
      <c r="T172">
        <v>550</v>
      </c>
      <c r="U172">
        <v>33500</v>
      </c>
      <c r="V172">
        <v>28600</v>
      </c>
      <c r="W172">
        <v>0.17132867132867119</v>
      </c>
      <c r="X172">
        <v>4900</v>
      </c>
      <c r="Y172" t="s">
        <v>73</v>
      </c>
      <c r="Z172" s="2">
        <v>42877</v>
      </c>
      <c r="AA172">
        <v>11</v>
      </c>
      <c r="AB172" t="s">
        <v>425</v>
      </c>
      <c r="AC172" t="s">
        <v>426</v>
      </c>
      <c r="AD172" t="s">
        <v>52</v>
      </c>
      <c r="AE172" t="str">
        <f t="shared" si="2"/>
        <v>Tuesday</v>
      </c>
      <c r="AF172" s="12">
        <f>Table1[[#This Row],[Total Cost]]+Table1[[#This Row],[PROFIT]]</f>
        <v>33500</v>
      </c>
    </row>
    <row r="173" spans="1:32" x14ac:dyDescent="0.3">
      <c r="A173">
        <v>172</v>
      </c>
      <c r="B173">
        <v>159</v>
      </c>
      <c r="C173">
        <v>1</v>
      </c>
      <c r="D173" t="s">
        <v>427</v>
      </c>
      <c r="E173">
        <v>45000</v>
      </c>
      <c r="F173">
        <v>2450</v>
      </c>
      <c r="G173">
        <v>23</v>
      </c>
      <c r="H173" s="2">
        <v>42879.72152777778</v>
      </c>
      <c r="I173">
        <v>159</v>
      </c>
      <c r="J173" t="s">
        <v>174</v>
      </c>
      <c r="K173" t="s">
        <v>175</v>
      </c>
      <c r="L173" t="s">
        <v>176</v>
      </c>
      <c r="M173" t="s">
        <v>57</v>
      </c>
      <c r="N173" t="s">
        <v>58</v>
      </c>
      <c r="O173" t="s">
        <v>36</v>
      </c>
      <c r="P173">
        <v>21</v>
      </c>
      <c r="Q173">
        <v>36000</v>
      </c>
      <c r="R173">
        <v>500</v>
      </c>
      <c r="S173">
        <v>750</v>
      </c>
      <c r="T173">
        <v>550</v>
      </c>
      <c r="U173">
        <v>45000</v>
      </c>
      <c r="V173">
        <v>37800</v>
      </c>
      <c r="W173">
        <v>0.19047619047619049</v>
      </c>
      <c r="X173">
        <v>7200</v>
      </c>
      <c r="Y173" t="s">
        <v>68</v>
      </c>
      <c r="Z173" s="2">
        <v>42878</v>
      </c>
      <c r="AA173">
        <v>4</v>
      </c>
      <c r="AB173" t="s">
        <v>398</v>
      </c>
      <c r="AC173" t="s">
        <v>70</v>
      </c>
      <c r="AD173" t="s">
        <v>71</v>
      </c>
      <c r="AE173" t="str">
        <f t="shared" si="2"/>
        <v>Wednesday</v>
      </c>
      <c r="AF173" s="12">
        <f>Table1[[#This Row],[Total Cost]]+Table1[[#This Row],[PROFIT]]</f>
        <v>45000</v>
      </c>
    </row>
    <row r="174" spans="1:32" x14ac:dyDescent="0.3">
      <c r="A174">
        <v>173</v>
      </c>
      <c r="B174">
        <v>160</v>
      </c>
      <c r="C174">
        <v>1</v>
      </c>
      <c r="D174" t="s">
        <v>428</v>
      </c>
      <c r="E174">
        <v>36500</v>
      </c>
      <c r="F174">
        <v>2266.5966386554619</v>
      </c>
      <c r="G174">
        <v>35</v>
      </c>
      <c r="H174" s="2">
        <v>42881.430555555547</v>
      </c>
      <c r="I174">
        <v>160</v>
      </c>
      <c r="J174" t="s">
        <v>270</v>
      </c>
      <c r="K174" t="s">
        <v>271</v>
      </c>
      <c r="L174" t="s">
        <v>84</v>
      </c>
      <c r="M174" t="s">
        <v>64</v>
      </c>
      <c r="N174" t="s">
        <v>65</v>
      </c>
      <c r="O174" t="s">
        <v>36</v>
      </c>
      <c r="P174">
        <v>22</v>
      </c>
      <c r="Q174">
        <v>29200</v>
      </c>
      <c r="R174">
        <v>500</v>
      </c>
      <c r="S174">
        <v>500</v>
      </c>
      <c r="T174">
        <v>550</v>
      </c>
      <c r="U174">
        <v>114000</v>
      </c>
      <c r="V174">
        <v>30750</v>
      </c>
      <c r="W174">
        <v>2.7073170731707319</v>
      </c>
      <c r="X174">
        <v>83250</v>
      </c>
      <c r="Y174" t="s">
        <v>73</v>
      </c>
      <c r="Z174" s="2">
        <v>42879</v>
      </c>
      <c r="AA174">
        <v>4</v>
      </c>
      <c r="AB174" t="s">
        <v>69</v>
      </c>
      <c r="AC174" t="s">
        <v>70</v>
      </c>
      <c r="AD174" t="s">
        <v>71</v>
      </c>
      <c r="AE174" t="str">
        <f t="shared" si="2"/>
        <v>Friday</v>
      </c>
      <c r="AF174" s="12">
        <f>Table1[[#This Row],[Total Cost]]+Table1[[#This Row],[PROFIT]]</f>
        <v>114000</v>
      </c>
    </row>
    <row r="175" spans="1:32" x14ac:dyDescent="0.3">
      <c r="A175">
        <v>174</v>
      </c>
      <c r="B175">
        <v>160</v>
      </c>
      <c r="C175">
        <v>2</v>
      </c>
      <c r="D175" t="s">
        <v>429</v>
      </c>
      <c r="E175">
        <v>77500</v>
      </c>
      <c r="F175">
        <v>2266.5966386554619</v>
      </c>
      <c r="G175">
        <v>35</v>
      </c>
      <c r="H175" s="2">
        <v>42881.430555555547</v>
      </c>
      <c r="I175">
        <v>160</v>
      </c>
      <c r="J175" t="s">
        <v>270</v>
      </c>
      <c r="K175" t="s">
        <v>271</v>
      </c>
      <c r="L175" t="s">
        <v>84</v>
      </c>
      <c r="M175" t="s">
        <v>64</v>
      </c>
      <c r="N175" t="s">
        <v>65</v>
      </c>
      <c r="O175" t="s">
        <v>36</v>
      </c>
      <c r="P175">
        <v>25</v>
      </c>
      <c r="Q175">
        <v>62000</v>
      </c>
      <c r="R175">
        <v>1490</v>
      </c>
      <c r="S175">
        <v>1500</v>
      </c>
      <c r="T175">
        <v>750</v>
      </c>
      <c r="U175">
        <v>114000</v>
      </c>
      <c r="V175">
        <v>65740</v>
      </c>
      <c r="W175">
        <v>0.73410404624277459</v>
      </c>
      <c r="X175">
        <v>48260</v>
      </c>
      <c r="Y175" t="s">
        <v>79</v>
      </c>
      <c r="Z175" s="2">
        <v>42880</v>
      </c>
      <c r="AA175">
        <v>4</v>
      </c>
      <c r="AB175" t="s">
        <v>245</v>
      </c>
      <c r="AC175" t="s">
        <v>70</v>
      </c>
      <c r="AD175" t="s">
        <v>71</v>
      </c>
      <c r="AE175" t="str">
        <f t="shared" si="2"/>
        <v>Friday</v>
      </c>
      <c r="AF175" s="12">
        <f>Table1[[#This Row],[Total Cost]]+Table1[[#This Row],[PROFIT]]</f>
        <v>114000</v>
      </c>
    </row>
    <row r="176" spans="1:32" x14ac:dyDescent="0.3">
      <c r="A176">
        <v>175</v>
      </c>
      <c r="B176">
        <v>161</v>
      </c>
      <c r="C176">
        <v>1</v>
      </c>
      <c r="D176" t="s">
        <v>430</v>
      </c>
      <c r="E176">
        <v>2350</v>
      </c>
      <c r="F176">
        <v>2266.5966386554619</v>
      </c>
      <c r="G176">
        <v>24</v>
      </c>
      <c r="H176" s="2">
        <v>42882.888888888891</v>
      </c>
      <c r="I176">
        <v>161</v>
      </c>
      <c r="J176" t="s">
        <v>183</v>
      </c>
      <c r="K176" t="s">
        <v>184</v>
      </c>
      <c r="L176" t="s">
        <v>185</v>
      </c>
      <c r="M176" t="s">
        <v>154</v>
      </c>
      <c r="N176" t="s">
        <v>155</v>
      </c>
      <c r="O176" t="s">
        <v>36</v>
      </c>
      <c r="P176">
        <v>65</v>
      </c>
      <c r="Q176">
        <v>1880</v>
      </c>
      <c r="R176">
        <v>500</v>
      </c>
      <c r="S176">
        <v>225</v>
      </c>
      <c r="T176">
        <v>150</v>
      </c>
      <c r="U176">
        <v>2350</v>
      </c>
      <c r="V176">
        <v>2755</v>
      </c>
      <c r="W176">
        <v>-0.14700544464609799</v>
      </c>
      <c r="X176">
        <v>-405</v>
      </c>
      <c r="Y176" t="s">
        <v>49</v>
      </c>
      <c r="Z176" s="2">
        <v>42881</v>
      </c>
      <c r="AA176">
        <v>13</v>
      </c>
      <c r="AB176" t="s">
        <v>372</v>
      </c>
      <c r="AC176" t="s">
        <v>373</v>
      </c>
      <c r="AD176" t="s">
        <v>374</v>
      </c>
      <c r="AE176" t="str">
        <f t="shared" si="2"/>
        <v>Saturday</v>
      </c>
      <c r="AF176" s="12">
        <f>Table1[[#This Row],[Total Cost]]+Table1[[#This Row],[PROFIT]]</f>
        <v>2350</v>
      </c>
    </row>
    <row r="177" spans="1:32" x14ac:dyDescent="0.3">
      <c r="A177">
        <v>176</v>
      </c>
      <c r="B177">
        <v>162</v>
      </c>
      <c r="C177">
        <v>1</v>
      </c>
      <c r="D177" t="s">
        <v>431</v>
      </c>
      <c r="E177">
        <v>32500</v>
      </c>
      <c r="F177">
        <v>500</v>
      </c>
      <c r="G177">
        <v>11</v>
      </c>
      <c r="H177" s="2">
        <v>42887.847916666673</v>
      </c>
      <c r="I177">
        <v>162</v>
      </c>
      <c r="J177" t="s">
        <v>100</v>
      </c>
      <c r="K177" t="s">
        <v>101</v>
      </c>
      <c r="L177" t="s">
        <v>95</v>
      </c>
      <c r="M177" t="s">
        <v>34</v>
      </c>
      <c r="N177" t="s">
        <v>35</v>
      </c>
      <c r="O177" t="s">
        <v>36</v>
      </c>
      <c r="P177">
        <v>45</v>
      </c>
      <c r="Q177">
        <v>26000</v>
      </c>
      <c r="R177">
        <v>1360</v>
      </c>
      <c r="S177">
        <v>750</v>
      </c>
      <c r="T177">
        <v>550</v>
      </c>
      <c r="U177">
        <v>32500</v>
      </c>
      <c r="V177">
        <v>28660</v>
      </c>
      <c r="W177">
        <v>0.13398464759246331</v>
      </c>
      <c r="X177">
        <v>3840</v>
      </c>
      <c r="Y177" t="s">
        <v>73</v>
      </c>
      <c r="Z177" s="2">
        <v>42886</v>
      </c>
      <c r="AA177">
        <v>8</v>
      </c>
      <c r="AB177" t="s">
        <v>111</v>
      </c>
      <c r="AC177" t="s">
        <v>112</v>
      </c>
      <c r="AD177" t="s">
        <v>52</v>
      </c>
      <c r="AE177" t="str">
        <f t="shared" si="2"/>
        <v>Thursday</v>
      </c>
      <c r="AF177" s="12">
        <f>Table1[[#This Row],[Total Cost]]+Table1[[#This Row],[PROFIT]]</f>
        <v>32500</v>
      </c>
    </row>
    <row r="178" spans="1:32" x14ac:dyDescent="0.3">
      <c r="A178">
        <v>177</v>
      </c>
      <c r="B178">
        <v>163</v>
      </c>
      <c r="C178">
        <v>1</v>
      </c>
      <c r="D178" t="s">
        <v>432</v>
      </c>
      <c r="E178">
        <v>45000</v>
      </c>
      <c r="F178">
        <v>1500</v>
      </c>
      <c r="G178">
        <v>19</v>
      </c>
      <c r="H178" s="2">
        <v>42887.51458333333</v>
      </c>
      <c r="I178">
        <v>163</v>
      </c>
      <c r="J178" t="s">
        <v>140</v>
      </c>
      <c r="K178" t="s">
        <v>141</v>
      </c>
      <c r="L178" t="s">
        <v>142</v>
      </c>
      <c r="M178" t="s">
        <v>34</v>
      </c>
      <c r="N178" t="s">
        <v>35</v>
      </c>
      <c r="O178" t="s">
        <v>36</v>
      </c>
      <c r="P178">
        <v>85</v>
      </c>
      <c r="Q178">
        <v>36000</v>
      </c>
      <c r="R178">
        <v>500</v>
      </c>
      <c r="S178">
        <v>750</v>
      </c>
      <c r="T178">
        <v>550</v>
      </c>
      <c r="U178">
        <v>45000</v>
      </c>
      <c r="V178">
        <v>37800</v>
      </c>
      <c r="W178">
        <v>0.19047619047619049</v>
      </c>
      <c r="X178">
        <v>7200</v>
      </c>
      <c r="Y178" t="s">
        <v>44</v>
      </c>
      <c r="Z178" s="2">
        <v>42886</v>
      </c>
      <c r="AA178">
        <v>20</v>
      </c>
      <c r="AB178" t="s">
        <v>433</v>
      </c>
      <c r="AC178" t="s">
        <v>434</v>
      </c>
      <c r="AD178" t="s">
        <v>71</v>
      </c>
      <c r="AE178" t="str">
        <f t="shared" si="2"/>
        <v>Thursday</v>
      </c>
      <c r="AF178" s="12">
        <f>Table1[[#This Row],[Total Cost]]+Table1[[#This Row],[PROFIT]]</f>
        <v>45000</v>
      </c>
    </row>
    <row r="179" spans="1:32" x14ac:dyDescent="0.3">
      <c r="A179">
        <v>178</v>
      </c>
      <c r="B179">
        <v>164</v>
      </c>
      <c r="C179">
        <v>1</v>
      </c>
      <c r="D179" t="s">
        <v>435</v>
      </c>
      <c r="E179">
        <v>8500</v>
      </c>
      <c r="F179">
        <v>2266.5966386554619</v>
      </c>
      <c r="G179">
        <v>6</v>
      </c>
      <c r="H179" s="2">
        <v>42901.890277777777</v>
      </c>
      <c r="I179">
        <v>164</v>
      </c>
      <c r="J179" t="s">
        <v>151</v>
      </c>
      <c r="K179" t="s">
        <v>152</v>
      </c>
      <c r="L179" t="s">
        <v>153</v>
      </c>
      <c r="M179" t="s">
        <v>154</v>
      </c>
      <c r="N179" t="s">
        <v>155</v>
      </c>
      <c r="O179" t="s">
        <v>36</v>
      </c>
      <c r="P179">
        <v>87</v>
      </c>
      <c r="Q179">
        <v>6800</v>
      </c>
      <c r="R179">
        <v>500</v>
      </c>
      <c r="S179">
        <v>750</v>
      </c>
      <c r="T179">
        <v>150</v>
      </c>
      <c r="U179">
        <v>8500</v>
      </c>
      <c r="V179">
        <v>8200</v>
      </c>
      <c r="W179">
        <v>3.6585365853658569E-2</v>
      </c>
      <c r="X179">
        <v>300</v>
      </c>
      <c r="Y179" t="s">
        <v>103</v>
      </c>
      <c r="Z179" s="2">
        <v>42891</v>
      </c>
      <c r="AA179">
        <v>21</v>
      </c>
      <c r="AB179" t="s">
        <v>138</v>
      </c>
      <c r="AC179" t="s">
        <v>134</v>
      </c>
      <c r="AD179" t="s">
        <v>71</v>
      </c>
      <c r="AE179" t="str">
        <f t="shared" si="2"/>
        <v>Thursday</v>
      </c>
      <c r="AF179" s="12">
        <f>Table1[[#This Row],[Total Cost]]+Table1[[#This Row],[PROFIT]]</f>
        <v>8500</v>
      </c>
    </row>
    <row r="180" spans="1:32" x14ac:dyDescent="0.3">
      <c r="A180">
        <v>179</v>
      </c>
      <c r="B180">
        <v>165</v>
      </c>
      <c r="C180">
        <v>1</v>
      </c>
      <c r="D180" t="s">
        <v>436</v>
      </c>
      <c r="E180">
        <v>99500</v>
      </c>
      <c r="F180">
        <v>2266.5966386554619</v>
      </c>
      <c r="G180">
        <v>4</v>
      </c>
      <c r="H180" s="2">
        <v>42901.848611111112</v>
      </c>
      <c r="I180">
        <v>165</v>
      </c>
      <c r="J180" t="s">
        <v>54</v>
      </c>
      <c r="K180" t="s">
        <v>55</v>
      </c>
      <c r="L180" t="s">
        <v>56</v>
      </c>
      <c r="M180" t="s">
        <v>57</v>
      </c>
      <c r="N180" t="s">
        <v>58</v>
      </c>
      <c r="O180" t="s">
        <v>36</v>
      </c>
      <c r="P180">
        <v>25</v>
      </c>
      <c r="Q180">
        <v>79600</v>
      </c>
      <c r="R180">
        <v>2175</v>
      </c>
      <c r="S180">
        <v>750</v>
      </c>
      <c r="T180">
        <v>750</v>
      </c>
      <c r="U180">
        <v>99500</v>
      </c>
      <c r="V180">
        <v>83275</v>
      </c>
      <c r="W180">
        <v>0.19483638546982901</v>
      </c>
      <c r="X180">
        <v>16225</v>
      </c>
      <c r="Y180" t="s">
        <v>103</v>
      </c>
      <c r="Z180" s="2">
        <v>42895</v>
      </c>
      <c r="AA180">
        <v>4</v>
      </c>
      <c r="AB180" t="s">
        <v>245</v>
      </c>
      <c r="AC180" t="s">
        <v>70</v>
      </c>
      <c r="AD180" t="s">
        <v>71</v>
      </c>
      <c r="AE180" t="str">
        <f t="shared" si="2"/>
        <v>Thursday</v>
      </c>
      <c r="AF180" s="12">
        <f>Table1[[#This Row],[Total Cost]]+Table1[[#This Row],[PROFIT]]</f>
        <v>99500</v>
      </c>
    </row>
    <row r="181" spans="1:32" x14ac:dyDescent="0.3">
      <c r="A181">
        <v>180</v>
      </c>
      <c r="B181">
        <v>166</v>
      </c>
      <c r="C181">
        <v>1</v>
      </c>
      <c r="D181" t="s">
        <v>437</v>
      </c>
      <c r="E181">
        <v>25000</v>
      </c>
      <c r="F181">
        <v>2266.5966386554619</v>
      </c>
      <c r="G181">
        <v>47</v>
      </c>
      <c r="H181" s="2">
        <v>42901.682638888888</v>
      </c>
      <c r="I181">
        <v>166</v>
      </c>
      <c r="J181" t="s">
        <v>438</v>
      </c>
      <c r="K181" t="s">
        <v>439</v>
      </c>
      <c r="L181" t="s">
        <v>391</v>
      </c>
      <c r="M181" t="s">
        <v>240</v>
      </c>
      <c r="N181" t="s">
        <v>241</v>
      </c>
      <c r="O181" t="s">
        <v>36</v>
      </c>
      <c r="P181">
        <v>458</v>
      </c>
      <c r="Q181">
        <v>20000</v>
      </c>
      <c r="R181">
        <v>500</v>
      </c>
      <c r="S181">
        <v>150</v>
      </c>
      <c r="T181">
        <v>150</v>
      </c>
      <c r="U181">
        <v>25000</v>
      </c>
      <c r="V181">
        <v>20800</v>
      </c>
      <c r="W181">
        <v>0.2019230769230769</v>
      </c>
      <c r="X181">
        <v>4200</v>
      </c>
      <c r="Y181" t="s">
        <v>79</v>
      </c>
      <c r="Z181" s="2">
        <v>42896</v>
      </c>
      <c r="AA181">
        <v>8.7155172413793096</v>
      </c>
      <c r="AB181" t="s">
        <v>245</v>
      </c>
      <c r="AC181" t="s">
        <v>70</v>
      </c>
      <c r="AD181" t="s">
        <v>71</v>
      </c>
      <c r="AE181" t="str">
        <f t="shared" si="2"/>
        <v>Thursday</v>
      </c>
      <c r="AF181" s="12">
        <f>Table1[[#This Row],[Total Cost]]+Table1[[#This Row],[PROFIT]]</f>
        <v>25000</v>
      </c>
    </row>
    <row r="182" spans="1:32" x14ac:dyDescent="0.3">
      <c r="A182">
        <v>181</v>
      </c>
      <c r="B182">
        <v>167</v>
      </c>
      <c r="C182">
        <v>1</v>
      </c>
      <c r="D182" t="s">
        <v>440</v>
      </c>
      <c r="E182">
        <v>19500</v>
      </c>
      <c r="F182">
        <v>2266.5966386554619</v>
      </c>
      <c r="G182">
        <v>33</v>
      </c>
      <c r="H182" s="2">
        <v>42901.432638888888</v>
      </c>
      <c r="I182">
        <v>167</v>
      </c>
      <c r="J182" t="s">
        <v>237</v>
      </c>
      <c r="K182" t="s">
        <v>238</v>
      </c>
      <c r="L182" t="s">
        <v>239</v>
      </c>
      <c r="M182" t="s">
        <v>240</v>
      </c>
      <c r="N182" t="s">
        <v>241</v>
      </c>
      <c r="O182" t="s">
        <v>36</v>
      </c>
      <c r="P182">
        <v>985</v>
      </c>
      <c r="Q182">
        <v>15600</v>
      </c>
      <c r="R182">
        <v>1360</v>
      </c>
      <c r="S182">
        <v>500</v>
      </c>
      <c r="T182">
        <v>150</v>
      </c>
      <c r="U182">
        <v>19500</v>
      </c>
      <c r="V182">
        <v>17610</v>
      </c>
      <c r="W182">
        <v>0.10732538330494031</v>
      </c>
      <c r="X182">
        <v>1890</v>
      </c>
      <c r="Y182" t="s">
        <v>44</v>
      </c>
      <c r="Z182" s="2">
        <v>42897</v>
      </c>
      <c r="AA182">
        <v>8.7155172413793096</v>
      </c>
      <c r="AB182" t="s">
        <v>245</v>
      </c>
      <c r="AC182" t="s">
        <v>70</v>
      </c>
      <c r="AD182" t="s">
        <v>71</v>
      </c>
      <c r="AE182" t="str">
        <f t="shared" si="2"/>
        <v>Thursday</v>
      </c>
      <c r="AF182" s="12">
        <f>Table1[[#This Row],[Total Cost]]+Table1[[#This Row],[PROFIT]]</f>
        <v>19500</v>
      </c>
    </row>
    <row r="183" spans="1:32" x14ac:dyDescent="0.3">
      <c r="A183">
        <v>182</v>
      </c>
      <c r="B183">
        <v>168</v>
      </c>
      <c r="C183">
        <v>1</v>
      </c>
      <c r="D183" t="s">
        <v>441</v>
      </c>
      <c r="E183">
        <v>12950</v>
      </c>
      <c r="F183">
        <v>750</v>
      </c>
      <c r="G183">
        <v>48</v>
      </c>
      <c r="H183" s="2">
        <v>42901.76666666667</v>
      </c>
      <c r="I183">
        <v>168</v>
      </c>
      <c r="J183" t="s">
        <v>442</v>
      </c>
      <c r="K183" t="s">
        <v>443</v>
      </c>
      <c r="L183" t="s">
        <v>395</v>
      </c>
      <c r="M183" t="s">
        <v>234</v>
      </c>
      <c r="N183" t="s">
        <v>235</v>
      </c>
      <c r="O183" t="s">
        <v>36</v>
      </c>
      <c r="P183">
        <v>91</v>
      </c>
      <c r="Q183">
        <v>10360</v>
      </c>
      <c r="R183">
        <v>1360</v>
      </c>
      <c r="S183">
        <v>750</v>
      </c>
      <c r="T183">
        <v>150</v>
      </c>
      <c r="U183">
        <v>12950</v>
      </c>
      <c r="V183">
        <v>12620</v>
      </c>
      <c r="W183">
        <v>2.6148969889064899E-2</v>
      </c>
      <c r="X183">
        <v>330</v>
      </c>
      <c r="Y183" t="s">
        <v>44</v>
      </c>
      <c r="Z183" s="2">
        <v>42898</v>
      </c>
      <c r="AA183">
        <v>21</v>
      </c>
      <c r="AB183" t="s">
        <v>444</v>
      </c>
      <c r="AC183" t="s">
        <v>134</v>
      </c>
      <c r="AD183" t="s">
        <v>71</v>
      </c>
      <c r="AE183" t="str">
        <f t="shared" si="2"/>
        <v>Thursday</v>
      </c>
      <c r="AF183" s="12">
        <f>Table1[[#This Row],[Total Cost]]+Table1[[#This Row],[PROFIT]]</f>
        <v>12950</v>
      </c>
    </row>
    <row r="184" spans="1:32" x14ac:dyDescent="0.3">
      <c r="A184">
        <v>183</v>
      </c>
      <c r="B184">
        <v>169</v>
      </c>
      <c r="C184">
        <v>1</v>
      </c>
      <c r="D184" t="s">
        <v>445</v>
      </c>
      <c r="E184">
        <v>5650</v>
      </c>
      <c r="F184">
        <v>2266.5966386554619</v>
      </c>
      <c r="G184">
        <v>25</v>
      </c>
      <c r="H184" s="2">
        <v>42908.76666666667</v>
      </c>
      <c r="I184">
        <v>169</v>
      </c>
      <c r="J184" t="s">
        <v>188</v>
      </c>
      <c r="K184" t="s">
        <v>189</v>
      </c>
      <c r="L184" t="s">
        <v>190</v>
      </c>
      <c r="M184" t="s">
        <v>34</v>
      </c>
      <c r="N184" t="s">
        <v>35</v>
      </c>
      <c r="O184" t="s">
        <v>36</v>
      </c>
      <c r="P184">
        <v>52</v>
      </c>
      <c r="Q184">
        <v>4520</v>
      </c>
      <c r="R184">
        <v>500</v>
      </c>
      <c r="S184">
        <v>150</v>
      </c>
      <c r="T184">
        <v>150</v>
      </c>
      <c r="U184">
        <v>5650</v>
      </c>
      <c r="V184">
        <v>5320</v>
      </c>
      <c r="W184">
        <v>6.203007518796988E-2</v>
      </c>
      <c r="X184">
        <v>330</v>
      </c>
      <c r="Y184" t="s">
        <v>73</v>
      </c>
      <c r="Z184" s="2">
        <v>42907</v>
      </c>
      <c r="AA184">
        <v>9</v>
      </c>
      <c r="AB184" t="s">
        <v>198</v>
      </c>
      <c r="AC184" t="s">
        <v>117</v>
      </c>
      <c r="AD184" t="s">
        <v>40</v>
      </c>
      <c r="AE184" t="str">
        <f t="shared" si="2"/>
        <v>Thursday</v>
      </c>
      <c r="AF184" s="12">
        <f>Table1[[#This Row],[Total Cost]]+Table1[[#This Row],[PROFIT]]</f>
        <v>5650</v>
      </c>
    </row>
    <row r="185" spans="1:32" x14ac:dyDescent="0.3">
      <c r="A185">
        <v>184</v>
      </c>
      <c r="B185">
        <v>170</v>
      </c>
      <c r="C185">
        <v>1</v>
      </c>
      <c r="D185" t="s">
        <v>446</v>
      </c>
      <c r="E185">
        <v>29500</v>
      </c>
      <c r="F185">
        <v>1500</v>
      </c>
      <c r="G185">
        <v>16</v>
      </c>
      <c r="H185" s="2">
        <v>42910.392361111109</v>
      </c>
      <c r="I185">
        <v>170</v>
      </c>
      <c r="J185" t="s">
        <v>124</v>
      </c>
      <c r="K185" t="s">
        <v>125</v>
      </c>
      <c r="L185" t="s">
        <v>110</v>
      </c>
      <c r="M185" t="s">
        <v>64</v>
      </c>
      <c r="N185" t="s">
        <v>65</v>
      </c>
      <c r="O185" t="s">
        <v>36</v>
      </c>
      <c r="P185">
        <v>75</v>
      </c>
      <c r="Q185">
        <v>23600</v>
      </c>
      <c r="R185">
        <v>500</v>
      </c>
      <c r="S185">
        <v>150</v>
      </c>
      <c r="T185">
        <v>150</v>
      </c>
      <c r="U185">
        <v>29500</v>
      </c>
      <c r="V185">
        <v>24400</v>
      </c>
      <c r="W185">
        <v>0.20901639344262299</v>
      </c>
      <c r="X185">
        <v>5100</v>
      </c>
      <c r="Y185" t="s">
        <v>73</v>
      </c>
      <c r="Z185" s="2">
        <v>42908</v>
      </c>
      <c r="AA185">
        <v>16</v>
      </c>
      <c r="AB185" t="s">
        <v>121</v>
      </c>
      <c r="AC185" t="s">
        <v>122</v>
      </c>
      <c r="AD185" t="s">
        <v>71</v>
      </c>
      <c r="AE185" t="str">
        <f t="shared" si="2"/>
        <v>Saturday</v>
      </c>
      <c r="AF185" s="12">
        <f>Table1[[#This Row],[Total Cost]]+Table1[[#This Row],[PROFIT]]</f>
        <v>29500</v>
      </c>
    </row>
    <row r="186" spans="1:32" x14ac:dyDescent="0.3">
      <c r="A186">
        <v>185</v>
      </c>
      <c r="B186">
        <v>171</v>
      </c>
      <c r="C186">
        <v>1</v>
      </c>
      <c r="D186" t="s">
        <v>447</v>
      </c>
      <c r="E186">
        <v>3950</v>
      </c>
      <c r="F186">
        <v>750</v>
      </c>
      <c r="G186">
        <v>49</v>
      </c>
      <c r="H186" s="2">
        <v>42917.434027777781</v>
      </c>
      <c r="I186">
        <v>171</v>
      </c>
      <c r="J186" t="s">
        <v>448</v>
      </c>
      <c r="K186" t="s">
        <v>449</v>
      </c>
      <c r="L186" t="s">
        <v>265</v>
      </c>
      <c r="M186" t="s">
        <v>266</v>
      </c>
      <c r="N186" t="s">
        <v>267</v>
      </c>
      <c r="O186" t="s">
        <v>36</v>
      </c>
      <c r="P186">
        <v>96</v>
      </c>
      <c r="Q186">
        <v>3160</v>
      </c>
      <c r="R186">
        <v>500</v>
      </c>
      <c r="S186">
        <v>750</v>
      </c>
      <c r="T186">
        <v>150</v>
      </c>
      <c r="U186">
        <v>45950</v>
      </c>
      <c r="V186">
        <v>4560</v>
      </c>
      <c r="W186">
        <v>9.0767543859649127</v>
      </c>
      <c r="X186">
        <v>41390</v>
      </c>
      <c r="Y186" t="s">
        <v>73</v>
      </c>
      <c r="Z186" s="2">
        <v>42909</v>
      </c>
      <c r="AA186">
        <v>23</v>
      </c>
      <c r="AB186" t="s">
        <v>450</v>
      </c>
      <c r="AC186" t="s">
        <v>336</v>
      </c>
      <c r="AD186" t="s">
        <v>52</v>
      </c>
      <c r="AE186" t="str">
        <f t="shared" si="2"/>
        <v>Saturday</v>
      </c>
      <c r="AF186" s="12">
        <f>Table1[[#This Row],[Total Cost]]+Table1[[#This Row],[PROFIT]]</f>
        <v>45950</v>
      </c>
    </row>
    <row r="187" spans="1:32" x14ac:dyDescent="0.3">
      <c r="A187">
        <v>186</v>
      </c>
      <c r="B187">
        <v>171</v>
      </c>
      <c r="C187">
        <v>2</v>
      </c>
      <c r="D187" t="s">
        <v>451</v>
      </c>
      <c r="E187">
        <v>29500</v>
      </c>
      <c r="F187">
        <v>750</v>
      </c>
      <c r="G187">
        <v>49</v>
      </c>
      <c r="H187" s="2">
        <v>42917.434027777781</v>
      </c>
      <c r="I187">
        <v>171</v>
      </c>
      <c r="J187" t="s">
        <v>448</v>
      </c>
      <c r="K187" t="s">
        <v>449</v>
      </c>
      <c r="L187" t="s">
        <v>265</v>
      </c>
      <c r="M187" t="s">
        <v>266</v>
      </c>
      <c r="N187" t="s">
        <v>267</v>
      </c>
      <c r="O187" t="s">
        <v>36</v>
      </c>
      <c r="P187">
        <v>85</v>
      </c>
      <c r="Q187">
        <v>23600</v>
      </c>
      <c r="R187">
        <v>1360</v>
      </c>
      <c r="S187">
        <v>750</v>
      </c>
      <c r="T187">
        <v>150</v>
      </c>
      <c r="U187">
        <v>45950</v>
      </c>
      <c r="V187">
        <v>25860</v>
      </c>
      <c r="W187">
        <v>0.77687548337200307</v>
      </c>
      <c r="X187">
        <v>20090</v>
      </c>
      <c r="Y187" t="s">
        <v>73</v>
      </c>
      <c r="Z187" s="2">
        <v>42916</v>
      </c>
      <c r="AA187">
        <v>20</v>
      </c>
      <c r="AB187" t="s">
        <v>433</v>
      </c>
      <c r="AC187" t="s">
        <v>434</v>
      </c>
      <c r="AD187" t="s">
        <v>71</v>
      </c>
      <c r="AE187" t="str">
        <f t="shared" si="2"/>
        <v>Saturday</v>
      </c>
      <c r="AF187" s="12">
        <f>Table1[[#This Row],[Total Cost]]+Table1[[#This Row],[PROFIT]]</f>
        <v>45950</v>
      </c>
    </row>
    <row r="188" spans="1:32" x14ac:dyDescent="0.3">
      <c r="A188">
        <v>187</v>
      </c>
      <c r="B188">
        <v>171</v>
      </c>
      <c r="C188">
        <v>3</v>
      </c>
      <c r="D188" t="s">
        <v>452</v>
      </c>
      <c r="E188">
        <v>12500</v>
      </c>
      <c r="F188">
        <v>2266.5966386554619</v>
      </c>
      <c r="G188">
        <v>49</v>
      </c>
      <c r="H188" s="2">
        <v>42917.434027777781</v>
      </c>
      <c r="I188">
        <v>171</v>
      </c>
      <c r="J188" t="s">
        <v>448</v>
      </c>
      <c r="K188" t="s">
        <v>449</v>
      </c>
      <c r="L188" t="s">
        <v>265</v>
      </c>
      <c r="M188" t="s">
        <v>266</v>
      </c>
      <c r="N188" t="s">
        <v>267</v>
      </c>
      <c r="O188" t="s">
        <v>36</v>
      </c>
      <c r="P188">
        <v>52</v>
      </c>
      <c r="Q188">
        <v>10000</v>
      </c>
      <c r="R188">
        <v>500</v>
      </c>
      <c r="S188">
        <v>750</v>
      </c>
      <c r="T188">
        <v>150</v>
      </c>
      <c r="U188">
        <v>45950</v>
      </c>
      <c r="V188">
        <v>11400</v>
      </c>
      <c r="W188">
        <v>3.0307017543859649</v>
      </c>
      <c r="X188">
        <v>34550</v>
      </c>
      <c r="Y188" t="s">
        <v>73</v>
      </c>
      <c r="Z188" s="2">
        <v>42916</v>
      </c>
      <c r="AA188">
        <v>9</v>
      </c>
      <c r="AB188" t="s">
        <v>198</v>
      </c>
      <c r="AC188" t="s">
        <v>117</v>
      </c>
      <c r="AD188" t="s">
        <v>40</v>
      </c>
      <c r="AE188" t="str">
        <f t="shared" si="2"/>
        <v>Saturday</v>
      </c>
      <c r="AF188" s="12">
        <f>Table1[[#This Row],[Total Cost]]+Table1[[#This Row],[PROFIT]]</f>
        <v>45950</v>
      </c>
    </row>
    <row r="189" spans="1:32" x14ac:dyDescent="0.3">
      <c r="A189">
        <v>188</v>
      </c>
      <c r="B189">
        <v>172</v>
      </c>
      <c r="C189">
        <v>1</v>
      </c>
      <c r="D189" t="s">
        <v>453</v>
      </c>
      <c r="E189">
        <v>99950</v>
      </c>
      <c r="F189">
        <v>2266.5966386554619</v>
      </c>
      <c r="G189">
        <v>50</v>
      </c>
      <c r="H189" s="2">
        <v>42917.768055555563</v>
      </c>
      <c r="I189">
        <v>172</v>
      </c>
      <c r="J189" t="s">
        <v>454</v>
      </c>
      <c r="K189" t="s">
        <v>455</v>
      </c>
      <c r="L189" t="s">
        <v>110</v>
      </c>
      <c r="M189" t="s">
        <v>64</v>
      </c>
      <c r="N189" t="s">
        <v>65</v>
      </c>
      <c r="O189" t="s">
        <v>36</v>
      </c>
      <c r="P189">
        <v>41</v>
      </c>
      <c r="Q189">
        <v>79960</v>
      </c>
      <c r="R189">
        <v>1490</v>
      </c>
      <c r="S189">
        <v>750</v>
      </c>
      <c r="T189">
        <v>750</v>
      </c>
      <c r="U189">
        <v>99950</v>
      </c>
      <c r="V189">
        <v>82950</v>
      </c>
      <c r="W189">
        <v>0.20494273658830631</v>
      </c>
      <c r="X189">
        <v>17000</v>
      </c>
      <c r="Y189" t="s">
        <v>44</v>
      </c>
      <c r="Z189" s="2">
        <v>42916</v>
      </c>
      <c r="AA189">
        <v>6</v>
      </c>
      <c r="AB189" t="s">
        <v>379</v>
      </c>
      <c r="AC189" t="s">
        <v>303</v>
      </c>
      <c r="AD189" t="s">
        <v>71</v>
      </c>
      <c r="AE189" t="str">
        <f t="shared" si="2"/>
        <v>Saturday</v>
      </c>
      <c r="AF189" s="12">
        <f>Table1[[#This Row],[Total Cost]]+Table1[[#This Row],[PROFIT]]</f>
        <v>99950</v>
      </c>
    </row>
    <row r="190" spans="1:32" x14ac:dyDescent="0.3">
      <c r="A190">
        <v>189</v>
      </c>
      <c r="B190">
        <v>173</v>
      </c>
      <c r="C190">
        <v>1</v>
      </c>
      <c r="D190" t="s">
        <v>456</v>
      </c>
      <c r="E190">
        <v>335000</v>
      </c>
      <c r="F190">
        <v>1250</v>
      </c>
      <c r="G190">
        <v>3</v>
      </c>
      <c r="H190" s="2">
        <v>42919.80972222222</v>
      </c>
      <c r="I190">
        <v>173</v>
      </c>
      <c r="J190" t="s">
        <v>47</v>
      </c>
      <c r="K190" t="s">
        <v>48</v>
      </c>
      <c r="L190" t="s">
        <v>33</v>
      </c>
      <c r="M190" t="s">
        <v>34</v>
      </c>
      <c r="N190" t="s">
        <v>35</v>
      </c>
      <c r="O190" t="s">
        <v>36</v>
      </c>
      <c r="P190">
        <v>63</v>
      </c>
      <c r="Q190">
        <v>268000</v>
      </c>
      <c r="R190">
        <v>2000</v>
      </c>
      <c r="S190">
        <v>2200</v>
      </c>
      <c r="T190">
        <v>1950</v>
      </c>
      <c r="U190">
        <v>335000</v>
      </c>
      <c r="V190">
        <v>274150</v>
      </c>
      <c r="W190">
        <v>0.22195878168885641</v>
      </c>
      <c r="X190">
        <v>60850</v>
      </c>
      <c r="Y190" t="s">
        <v>126</v>
      </c>
      <c r="Z190" s="2">
        <v>42917</v>
      </c>
      <c r="AA190">
        <v>12</v>
      </c>
      <c r="AB190" t="s">
        <v>381</v>
      </c>
      <c r="AC190" t="s">
        <v>382</v>
      </c>
      <c r="AD190" t="s">
        <v>374</v>
      </c>
      <c r="AE190" t="str">
        <f t="shared" si="2"/>
        <v>Monday</v>
      </c>
      <c r="AF190" s="12">
        <f>Table1[[#This Row],[Total Cost]]+Table1[[#This Row],[PROFIT]]</f>
        <v>335000</v>
      </c>
    </row>
    <row r="191" spans="1:32" x14ac:dyDescent="0.3">
      <c r="A191">
        <v>190</v>
      </c>
      <c r="B191">
        <v>174</v>
      </c>
      <c r="C191">
        <v>1</v>
      </c>
      <c r="D191" t="s">
        <v>457</v>
      </c>
      <c r="E191">
        <v>56500</v>
      </c>
      <c r="F191">
        <v>2266.5966386554619</v>
      </c>
      <c r="G191">
        <v>8</v>
      </c>
      <c r="H191" s="2">
        <v>42947.852083333331</v>
      </c>
      <c r="I191">
        <v>174</v>
      </c>
      <c r="J191" t="s">
        <v>82</v>
      </c>
      <c r="K191" t="s">
        <v>83</v>
      </c>
      <c r="L191" t="s">
        <v>84</v>
      </c>
      <c r="M191" t="s">
        <v>64</v>
      </c>
      <c r="N191" t="s">
        <v>65</v>
      </c>
      <c r="O191" t="s">
        <v>36</v>
      </c>
      <c r="P191">
        <v>25</v>
      </c>
      <c r="Q191">
        <v>45200</v>
      </c>
      <c r="R191">
        <v>500</v>
      </c>
      <c r="S191">
        <v>750</v>
      </c>
      <c r="T191">
        <v>550</v>
      </c>
      <c r="U191">
        <v>56500</v>
      </c>
      <c r="V191">
        <v>47000</v>
      </c>
      <c r="W191">
        <v>0.2021276595744681</v>
      </c>
      <c r="X191">
        <v>9500</v>
      </c>
      <c r="Y191" t="s">
        <v>126</v>
      </c>
      <c r="Z191" s="2">
        <v>42941</v>
      </c>
      <c r="AA191">
        <v>4</v>
      </c>
      <c r="AB191" t="s">
        <v>245</v>
      </c>
      <c r="AC191" t="s">
        <v>70</v>
      </c>
      <c r="AD191" t="s">
        <v>71</v>
      </c>
      <c r="AE191" t="str">
        <f t="shared" si="2"/>
        <v>Monday</v>
      </c>
      <c r="AF191" s="12">
        <f>Table1[[#This Row],[Total Cost]]+Table1[[#This Row],[PROFIT]]</f>
        <v>56500</v>
      </c>
    </row>
    <row r="192" spans="1:32" x14ac:dyDescent="0.3">
      <c r="A192">
        <v>191</v>
      </c>
      <c r="B192">
        <v>175</v>
      </c>
      <c r="C192">
        <v>1</v>
      </c>
      <c r="D192" t="s">
        <v>458</v>
      </c>
      <c r="E192">
        <v>99500</v>
      </c>
      <c r="F192">
        <v>2266.5966386554619</v>
      </c>
      <c r="G192">
        <v>11</v>
      </c>
      <c r="H192" s="2">
        <v>42947.810416666667</v>
      </c>
      <c r="I192">
        <v>175</v>
      </c>
      <c r="J192" t="s">
        <v>100</v>
      </c>
      <c r="K192" t="s">
        <v>101</v>
      </c>
      <c r="L192" t="s">
        <v>95</v>
      </c>
      <c r="M192" t="s">
        <v>34</v>
      </c>
      <c r="N192" t="s">
        <v>35</v>
      </c>
      <c r="O192" t="s">
        <v>36</v>
      </c>
      <c r="P192">
        <v>29</v>
      </c>
      <c r="Q192">
        <v>79600</v>
      </c>
      <c r="R192">
        <v>2175</v>
      </c>
      <c r="S192">
        <v>750</v>
      </c>
      <c r="T192">
        <v>750</v>
      </c>
      <c r="U192">
        <v>99500</v>
      </c>
      <c r="V192">
        <v>83275</v>
      </c>
      <c r="W192">
        <v>0.19483638546982901</v>
      </c>
      <c r="X192">
        <v>16225</v>
      </c>
      <c r="Y192" t="s">
        <v>68</v>
      </c>
      <c r="Z192" s="2">
        <v>42941</v>
      </c>
      <c r="AA192">
        <v>4</v>
      </c>
      <c r="AB192" t="s">
        <v>253</v>
      </c>
      <c r="AC192" t="s">
        <v>70</v>
      </c>
      <c r="AD192" t="s">
        <v>71</v>
      </c>
      <c r="AE192" t="str">
        <f t="shared" si="2"/>
        <v>Monday</v>
      </c>
      <c r="AF192" s="12">
        <f>Table1[[#This Row],[Total Cost]]+Table1[[#This Row],[PROFIT]]</f>
        <v>99500</v>
      </c>
    </row>
    <row r="193" spans="1:32" x14ac:dyDescent="0.3">
      <c r="A193">
        <v>192</v>
      </c>
      <c r="B193">
        <v>176</v>
      </c>
      <c r="C193">
        <v>1</v>
      </c>
      <c r="D193" t="s">
        <v>459</v>
      </c>
      <c r="E193">
        <v>135000</v>
      </c>
      <c r="F193">
        <v>1500</v>
      </c>
      <c r="G193">
        <v>16</v>
      </c>
      <c r="H193" s="2">
        <v>42947.727777777778</v>
      </c>
      <c r="I193">
        <v>176</v>
      </c>
      <c r="J193" t="s">
        <v>124</v>
      </c>
      <c r="K193" t="s">
        <v>125</v>
      </c>
      <c r="L193" t="s">
        <v>110</v>
      </c>
      <c r="M193" t="s">
        <v>64</v>
      </c>
      <c r="N193" t="s">
        <v>65</v>
      </c>
      <c r="O193" t="s">
        <v>36</v>
      </c>
      <c r="P193">
        <v>38</v>
      </c>
      <c r="Q193">
        <v>108000</v>
      </c>
      <c r="R193">
        <v>2000</v>
      </c>
      <c r="S193">
        <v>1500</v>
      </c>
      <c r="T193">
        <v>1950</v>
      </c>
      <c r="U193">
        <v>135000</v>
      </c>
      <c r="V193">
        <v>113450</v>
      </c>
      <c r="W193">
        <v>0.1899515204936095</v>
      </c>
      <c r="X193">
        <v>21550</v>
      </c>
      <c r="Y193" t="s">
        <v>126</v>
      </c>
      <c r="Z193" s="2">
        <v>42941</v>
      </c>
      <c r="AA193">
        <v>6</v>
      </c>
      <c r="AB193" t="s">
        <v>333</v>
      </c>
      <c r="AC193" t="s">
        <v>303</v>
      </c>
      <c r="AD193" t="s">
        <v>71</v>
      </c>
      <c r="AE193" t="str">
        <f t="shared" si="2"/>
        <v>Monday</v>
      </c>
      <c r="AF193" s="12">
        <f>Table1[[#This Row],[Total Cost]]+Table1[[#This Row],[PROFIT]]</f>
        <v>135000</v>
      </c>
    </row>
    <row r="194" spans="1:32" x14ac:dyDescent="0.3">
      <c r="A194">
        <v>193</v>
      </c>
      <c r="B194">
        <v>177</v>
      </c>
      <c r="C194">
        <v>1</v>
      </c>
      <c r="D194" t="s">
        <v>460</v>
      </c>
      <c r="E194">
        <v>89500</v>
      </c>
      <c r="F194">
        <v>2266.5966386554619</v>
      </c>
      <c r="G194">
        <v>25</v>
      </c>
      <c r="H194" s="2">
        <v>42947.727777777778</v>
      </c>
      <c r="I194">
        <v>177</v>
      </c>
      <c r="J194" t="s">
        <v>188</v>
      </c>
      <c r="K194" t="s">
        <v>189</v>
      </c>
      <c r="L194" t="s">
        <v>190</v>
      </c>
      <c r="M194" t="s">
        <v>34</v>
      </c>
      <c r="N194" t="s">
        <v>35</v>
      </c>
      <c r="O194" t="s">
        <v>36</v>
      </c>
      <c r="P194">
        <v>39</v>
      </c>
      <c r="Q194">
        <v>71600</v>
      </c>
      <c r="R194">
        <v>500</v>
      </c>
      <c r="S194">
        <v>750</v>
      </c>
      <c r="T194">
        <v>750</v>
      </c>
      <c r="U194">
        <v>89500</v>
      </c>
      <c r="V194">
        <v>73600</v>
      </c>
      <c r="W194">
        <v>0.21603260869565211</v>
      </c>
      <c r="X194">
        <v>15900</v>
      </c>
      <c r="Y194" t="s">
        <v>49</v>
      </c>
      <c r="Z194" s="2">
        <v>42941</v>
      </c>
      <c r="AA194">
        <v>6</v>
      </c>
      <c r="AB194" t="s">
        <v>461</v>
      </c>
      <c r="AC194" t="s">
        <v>303</v>
      </c>
      <c r="AD194" t="s">
        <v>71</v>
      </c>
      <c r="AE194" t="str">
        <f t="shared" si="2"/>
        <v>Monday</v>
      </c>
      <c r="AF194" s="12">
        <f>Table1[[#This Row],[Total Cost]]+Table1[[#This Row],[PROFIT]]</f>
        <v>89500</v>
      </c>
    </row>
    <row r="195" spans="1:32" x14ac:dyDescent="0.3">
      <c r="A195">
        <v>194</v>
      </c>
      <c r="B195">
        <v>178</v>
      </c>
      <c r="C195">
        <v>1</v>
      </c>
      <c r="D195" t="s">
        <v>462</v>
      </c>
      <c r="E195">
        <v>165000</v>
      </c>
      <c r="F195">
        <v>2266.5966386554619</v>
      </c>
      <c r="G195">
        <v>24</v>
      </c>
      <c r="H195" s="2">
        <v>42951.895138888889</v>
      </c>
      <c r="I195">
        <v>178</v>
      </c>
      <c r="J195" t="s">
        <v>183</v>
      </c>
      <c r="K195" t="s">
        <v>184</v>
      </c>
      <c r="L195" t="s">
        <v>185</v>
      </c>
      <c r="M195" t="s">
        <v>154</v>
      </c>
      <c r="N195" t="s">
        <v>155</v>
      </c>
      <c r="O195" t="s">
        <v>36</v>
      </c>
      <c r="P195">
        <v>37</v>
      </c>
      <c r="Q195">
        <v>132000</v>
      </c>
      <c r="R195">
        <v>9250</v>
      </c>
      <c r="S195">
        <v>3150</v>
      </c>
      <c r="T195">
        <v>1950</v>
      </c>
      <c r="U195">
        <v>165000</v>
      </c>
      <c r="V195">
        <v>146350</v>
      </c>
      <c r="W195">
        <v>0.12743423300307491</v>
      </c>
      <c r="X195">
        <v>18650</v>
      </c>
      <c r="Y195" t="s">
        <v>244</v>
      </c>
      <c r="Z195" s="2">
        <v>42949</v>
      </c>
      <c r="AA195">
        <v>6</v>
      </c>
      <c r="AB195" t="s">
        <v>387</v>
      </c>
      <c r="AC195" t="s">
        <v>303</v>
      </c>
      <c r="AD195" t="s">
        <v>71</v>
      </c>
      <c r="AE195" t="str">
        <f t="shared" ref="AE195:AE258" si="3">TEXT(H195,"dddd")</f>
        <v>Friday</v>
      </c>
      <c r="AF195" s="12">
        <f>Table1[[#This Row],[Total Cost]]+Table1[[#This Row],[PROFIT]]</f>
        <v>165000</v>
      </c>
    </row>
    <row r="196" spans="1:32" x14ac:dyDescent="0.3">
      <c r="A196">
        <v>195</v>
      </c>
      <c r="B196">
        <v>179</v>
      </c>
      <c r="C196">
        <v>1</v>
      </c>
      <c r="D196" t="s">
        <v>463</v>
      </c>
      <c r="E196">
        <v>22600</v>
      </c>
      <c r="F196">
        <v>500</v>
      </c>
      <c r="G196">
        <v>36</v>
      </c>
      <c r="H196" s="2">
        <v>42951.478472222218</v>
      </c>
      <c r="I196">
        <v>179</v>
      </c>
      <c r="J196" t="s">
        <v>273</v>
      </c>
      <c r="K196" t="s">
        <v>274</v>
      </c>
      <c r="L196" t="s">
        <v>88</v>
      </c>
      <c r="M196" t="s">
        <v>89</v>
      </c>
      <c r="N196" t="s">
        <v>90</v>
      </c>
      <c r="O196" t="s">
        <v>91</v>
      </c>
      <c r="P196">
        <v>48</v>
      </c>
      <c r="Q196">
        <v>18080</v>
      </c>
      <c r="R196">
        <v>1360</v>
      </c>
      <c r="S196">
        <v>500</v>
      </c>
      <c r="T196">
        <v>150</v>
      </c>
      <c r="U196">
        <v>22600</v>
      </c>
      <c r="V196">
        <v>20090</v>
      </c>
      <c r="W196">
        <v>0.12493777999004491</v>
      </c>
      <c r="X196">
        <v>2510</v>
      </c>
      <c r="Y196" t="s">
        <v>73</v>
      </c>
      <c r="Z196" s="2">
        <v>42949</v>
      </c>
      <c r="AA196">
        <v>8</v>
      </c>
      <c r="AB196" t="s">
        <v>464</v>
      </c>
      <c r="AC196" t="s">
        <v>112</v>
      </c>
      <c r="AD196" t="s">
        <v>52</v>
      </c>
      <c r="AE196" t="str">
        <f t="shared" si="3"/>
        <v>Friday</v>
      </c>
      <c r="AF196" s="12">
        <f>Table1[[#This Row],[Total Cost]]+Table1[[#This Row],[PROFIT]]</f>
        <v>22600</v>
      </c>
    </row>
    <row r="197" spans="1:32" x14ac:dyDescent="0.3">
      <c r="A197">
        <v>196</v>
      </c>
      <c r="B197">
        <v>180</v>
      </c>
      <c r="C197">
        <v>1</v>
      </c>
      <c r="D197" t="s">
        <v>465</v>
      </c>
      <c r="E197">
        <v>32675</v>
      </c>
      <c r="F197">
        <v>2266.5966386554619</v>
      </c>
      <c r="G197">
        <v>46</v>
      </c>
      <c r="H197" s="2">
        <v>42953.604166666657</v>
      </c>
      <c r="I197">
        <v>180</v>
      </c>
      <c r="J197" t="s">
        <v>423</v>
      </c>
      <c r="K197" t="s">
        <v>424</v>
      </c>
      <c r="L197" t="s">
        <v>110</v>
      </c>
      <c r="M197" t="s">
        <v>64</v>
      </c>
      <c r="N197" t="s">
        <v>65</v>
      </c>
      <c r="O197" t="s">
        <v>36</v>
      </c>
      <c r="P197">
        <v>46</v>
      </c>
      <c r="Q197">
        <v>26140</v>
      </c>
      <c r="R197">
        <v>660</v>
      </c>
      <c r="S197">
        <v>500</v>
      </c>
      <c r="T197">
        <v>550</v>
      </c>
      <c r="U197">
        <v>32675</v>
      </c>
      <c r="V197">
        <v>27850</v>
      </c>
      <c r="W197">
        <v>0.1732495511669658</v>
      </c>
      <c r="X197">
        <v>4825</v>
      </c>
      <c r="Y197" t="s">
        <v>244</v>
      </c>
      <c r="Z197" s="2">
        <v>42952</v>
      </c>
      <c r="AA197">
        <v>8</v>
      </c>
      <c r="AB197" t="s">
        <v>466</v>
      </c>
      <c r="AC197" t="s">
        <v>112</v>
      </c>
      <c r="AD197" t="s">
        <v>52</v>
      </c>
      <c r="AE197" t="str">
        <f t="shared" si="3"/>
        <v>Sunday</v>
      </c>
      <c r="AF197" s="12">
        <f>Table1[[#This Row],[Total Cost]]+Table1[[#This Row],[PROFIT]]</f>
        <v>32675</v>
      </c>
    </row>
    <row r="198" spans="1:32" x14ac:dyDescent="0.3">
      <c r="A198">
        <v>197</v>
      </c>
      <c r="B198">
        <v>181</v>
      </c>
      <c r="C198">
        <v>1</v>
      </c>
      <c r="D198" t="s">
        <v>467</v>
      </c>
      <c r="E198">
        <v>45000</v>
      </c>
      <c r="F198">
        <v>2266.5966386554619</v>
      </c>
      <c r="G198">
        <v>28</v>
      </c>
      <c r="H198" s="2">
        <v>42954.5625</v>
      </c>
      <c r="I198">
        <v>181</v>
      </c>
      <c r="J198" t="s">
        <v>212</v>
      </c>
      <c r="K198" t="s">
        <v>213</v>
      </c>
      <c r="L198" t="s">
        <v>84</v>
      </c>
      <c r="M198" t="s">
        <v>64</v>
      </c>
      <c r="N198" t="s">
        <v>65</v>
      </c>
      <c r="O198" t="s">
        <v>36</v>
      </c>
      <c r="P198">
        <v>47</v>
      </c>
      <c r="Q198">
        <v>36000</v>
      </c>
      <c r="R198">
        <v>2000</v>
      </c>
      <c r="S198">
        <v>500</v>
      </c>
      <c r="T198">
        <v>550</v>
      </c>
      <c r="U198">
        <v>45000</v>
      </c>
      <c r="V198">
        <v>39050</v>
      </c>
      <c r="W198">
        <v>0.15236875800256081</v>
      </c>
      <c r="X198">
        <v>5950</v>
      </c>
      <c r="Y198" t="s">
        <v>68</v>
      </c>
      <c r="Z198" s="2">
        <v>42952</v>
      </c>
      <c r="AA198">
        <v>8</v>
      </c>
      <c r="AB198" t="s">
        <v>468</v>
      </c>
      <c r="AC198" t="s">
        <v>112</v>
      </c>
      <c r="AD198" t="s">
        <v>52</v>
      </c>
      <c r="AE198" t="str">
        <f t="shared" si="3"/>
        <v>Monday</v>
      </c>
      <c r="AF198" s="12">
        <f>Table1[[#This Row],[Total Cost]]+Table1[[#This Row],[PROFIT]]</f>
        <v>45000</v>
      </c>
    </row>
    <row r="199" spans="1:32" x14ac:dyDescent="0.3">
      <c r="A199">
        <v>198</v>
      </c>
      <c r="B199">
        <v>182</v>
      </c>
      <c r="C199">
        <v>1</v>
      </c>
      <c r="D199" t="s">
        <v>469</v>
      </c>
      <c r="E199">
        <v>5500</v>
      </c>
      <c r="F199">
        <v>2266.5966386554619</v>
      </c>
      <c r="G199">
        <v>21</v>
      </c>
      <c r="H199" s="2">
        <v>42974.563194444447</v>
      </c>
      <c r="I199">
        <v>182</v>
      </c>
      <c r="J199" t="s">
        <v>166</v>
      </c>
      <c r="K199" t="s">
        <v>167</v>
      </c>
      <c r="L199" t="s">
        <v>142</v>
      </c>
      <c r="M199" t="s">
        <v>34</v>
      </c>
      <c r="N199" t="s">
        <v>35</v>
      </c>
      <c r="O199" t="s">
        <v>36</v>
      </c>
      <c r="P199">
        <v>58</v>
      </c>
      <c r="Q199">
        <v>4400</v>
      </c>
      <c r="R199">
        <v>500</v>
      </c>
      <c r="S199">
        <v>750</v>
      </c>
      <c r="T199">
        <v>150</v>
      </c>
      <c r="U199">
        <v>5500</v>
      </c>
      <c r="V199">
        <v>5800</v>
      </c>
      <c r="W199">
        <v>-5.1724137931034482E-2</v>
      </c>
      <c r="X199">
        <v>-300</v>
      </c>
      <c r="Y199" t="s">
        <v>44</v>
      </c>
      <c r="Z199" s="2">
        <v>42972</v>
      </c>
      <c r="AA199">
        <v>11</v>
      </c>
      <c r="AB199" t="s">
        <v>470</v>
      </c>
      <c r="AC199" t="s">
        <v>426</v>
      </c>
      <c r="AD199" t="s">
        <v>52</v>
      </c>
      <c r="AE199" t="str">
        <f t="shared" si="3"/>
        <v>Sunday</v>
      </c>
      <c r="AF199" s="12">
        <f>Table1[[#This Row],[Total Cost]]+Table1[[#This Row],[PROFIT]]</f>
        <v>5500</v>
      </c>
    </row>
    <row r="200" spans="1:32" x14ac:dyDescent="0.3">
      <c r="A200">
        <v>199</v>
      </c>
      <c r="B200">
        <v>183</v>
      </c>
      <c r="C200">
        <v>1</v>
      </c>
      <c r="D200" t="s">
        <v>471</v>
      </c>
      <c r="E200">
        <v>55000</v>
      </c>
      <c r="F200">
        <v>2450</v>
      </c>
      <c r="G200">
        <v>7</v>
      </c>
      <c r="H200" s="2">
        <v>42977.813194444447</v>
      </c>
      <c r="I200">
        <v>183</v>
      </c>
      <c r="J200" t="s">
        <v>76</v>
      </c>
      <c r="K200" t="s">
        <v>77</v>
      </c>
      <c r="L200" t="s">
        <v>78</v>
      </c>
      <c r="M200" t="s">
        <v>34</v>
      </c>
      <c r="N200" t="s">
        <v>35</v>
      </c>
      <c r="O200" t="s">
        <v>36</v>
      </c>
      <c r="P200">
        <v>85</v>
      </c>
      <c r="Q200">
        <v>44000</v>
      </c>
      <c r="R200">
        <v>500</v>
      </c>
      <c r="S200">
        <v>500</v>
      </c>
      <c r="T200">
        <v>550</v>
      </c>
      <c r="U200">
        <v>55000</v>
      </c>
      <c r="V200">
        <v>45550</v>
      </c>
      <c r="W200">
        <v>0.20746432491767289</v>
      </c>
      <c r="X200">
        <v>9450</v>
      </c>
      <c r="Y200" t="s">
        <v>73</v>
      </c>
      <c r="Z200" s="2">
        <v>42976</v>
      </c>
      <c r="AA200">
        <v>20</v>
      </c>
      <c r="AB200" t="s">
        <v>433</v>
      </c>
      <c r="AC200" t="s">
        <v>434</v>
      </c>
      <c r="AD200" t="s">
        <v>71</v>
      </c>
      <c r="AE200" t="str">
        <f t="shared" si="3"/>
        <v>Wednesday</v>
      </c>
      <c r="AF200" s="12">
        <f>Table1[[#This Row],[Total Cost]]+Table1[[#This Row],[PROFIT]]</f>
        <v>55000</v>
      </c>
    </row>
    <row r="201" spans="1:32" x14ac:dyDescent="0.3">
      <c r="A201">
        <v>200</v>
      </c>
      <c r="B201">
        <v>184</v>
      </c>
      <c r="C201">
        <v>1</v>
      </c>
      <c r="D201" t="s">
        <v>472</v>
      </c>
      <c r="E201">
        <v>49500</v>
      </c>
      <c r="F201">
        <v>2266.5966386554619</v>
      </c>
      <c r="G201">
        <v>9</v>
      </c>
      <c r="H201" s="2">
        <v>42998.605555555558</v>
      </c>
      <c r="I201">
        <v>184</v>
      </c>
      <c r="J201" t="s">
        <v>86</v>
      </c>
      <c r="K201" t="s">
        <v>87</v>
      </c>
      <c r="L201" t="s">
        <v>88</v>
      </c>
      <c r="M201" t="s">
        <v>89</v>
      </c>
      <c r="N201" t="s">
        <v>90</v>
      </c>
      <c r="O201" t="s">
        <v>91</v>
      </c>
      <c r="P201">
        <v>21</v>
      </c>
      <c r="Q201">
        <v>39600</v>
      </c>
      <c r="R201">
        <v>1360</v>
      </c>
      <c r="S201">
        <v>500</v>
      </c>
      <c r="T201">
        <v>550</v>
      </c>
      <c r="U201">
        <v>49500</v>
      </c>
      <c r="V201">
        <v>42010</v>
      </c>
      <c r="W201">
        <v>0.17829088312306579</v>
      </c>
      <c r="X201">
        <v>7490</v>
      </c>
      <c r="Y201" t="s">
        <v>103</v>
      </c>
      <c r="Z201" s="2">
        <v>42978</v>
      </c>
      <c r="AA201">
        <v>4</v>
      </c>
      <c r="AB201" t="s">
        <v>398</v>
      </c>
      <c r="AC201" t="s">
        <v>70</v>
      </c>
      <c r="AD201" t="s">
        <v>71</v>
      </c>
      <c r="AE201" t="str">
        <f t="shared" si="3"/>
        <v>Wednesday</v>
      </c>
      <c r="AF201" s="12">
        <f>Table1[[#This Row],[Total Cost]]+Table1[[#This Row],[PROFIT]]</f>
        <v>49500</v>
      </c>
    </row>
    <row r="202" spans="1:32" x14ac:dyDescent="0.3">
      <c r="A202">
        <v>201</v>
      </c>
      <c r="B202">
        <v>185</v>
      </c>
      <c r="C202">
        <v>1</v>
      </c>
      <c r="D202" t="s">
        <v>473</v>
      </c>
      <c r="E202">
        <v>250000</v>
      </c>
      <c r="F202">
        <v>2266.5966386554619</v>
      </c>
      <c r="G202">
        <v>39</v>
      </c>
      <c r="H202" s="2">
        <v>42998.522222222222</v>
      </c>
      <c r="I202">
        <v>185</v>
      </c>
      <c r="J202" t="s">
        <v>309</v>
      </c>
      <c r="K202" t="s">
        <v>310</v>
      </c>
      <c r="L202" t="s">
        <v>233</v>
      </c>
      <c r="M202" t="s">
        <v>234</v>
      </c>
      <c r="N202" t="s">
        <v>235</v>
      </c>
      <c r="O202" t="s">
        <v>36</v>
      </c>
      <c r="P202">
        <v>2</v>
      </c>
      <c r="Q202">
        <v>200000</v>
      </c>
      <c r="R202">
        <v>500</v>
      </c>
      <c r="S202">
        <v>2200</v>
      </c>
      <c r="T202">
        <v>1950</v>
      </c>
      <c r="U202">
        <v>250000</v>
      </c>
      <c r="V202">
        <v>204650</v>
      </c>
      <c r="W202">
        <v>0.22159784998778401</v>
      </c>
      <c r="X202">
        <v>45350</v>
      </c>
      <c r="Y202" t="s">
        <v>73</v>
      </c>
      <c r="Z202" s="2">
        <v>42980</v>
      </c>
      <c r="AA202">
        <v>1</v>
      </c>
      <c r="AB202" t="s">
        <v>38</v>
      </c>
      <c r="AC202" t="s">
        <v>39</v>
      </c>
      <c r="AD202" t="s">
        <v>40</v>
      </c>
      <c r="AE202" t="str">
        <f t="shared" si="3"/>
        <v>Wednesday</v>
      </c>
      <c r="AF202" s="12">
        <f>Table1[[#This Row],[Total Cost]]+Table1[[#This Row],[PROFIT]]</f>
        <v>250000</v>
      </c>
    </row>
    <row r="203" spans="1:32" x14ac:dyDescent="0.3">
      <c r="A203">
        <v>202</v>
      </c>
      <c r="B203">
        <v>186</v>
      </c>
      <c r="C203">
        <v>1</v>
      </c>
      <c r="D203" t="s">
        <v>474</v>
      </c>
      <c r="E203">
        <v>155000</v>
      </c>
      <c r="F203">
        <v>500</v>
      </c>
      <c r="G203">
        <v>28</v>
      </c>
      <c r="H203" s="2">
        <v>42998.689583333333</v>
      </c>
      <c r="I203">
        <v>186</v>
      </c>
      <c r="J203" t="s">
        <v>212</v>
      </c>
      <c r="K203" t="s">
        <v>213</v>
      </c>
      <c r="L203" t="s">
        <v>84</v>
      </c>
      <c r="M203" t="s">
        <v>64</v>
      </c>
      <c r="N203" t="s">
        <v>65</v>
      </c>
      <c r="O203" t="s">
        <v>36</v>
      </c>
      <c r="P203">
        <v>3</v>
      </c>
      <c r="Q203">
        <v>124000</v>
      </c>
      <c r="R203">
        <v>9250</v>
      </c>
      <c r="S203">
        <v>750</v>
      </c>
      <c r="T203">
        <v>1950</v>
      </c>
      <c r="U203">
        <v>155000</v>
      </c>
      <c r="V203">
        <v>135950</v>
      </c>
      <c r="W203">
        <v>0.14012504597278411</v>
      </c>
      <c r="X203">
        <v>19050</v>
      </c>
      <c r="Y203" t="s">
        <v>37</v>
      </c>
      <c r="Z203" s="2">
        <v>42981</v>
      </c>
      <c r="AA203">
        <v>1</v>
      </c>
      <c r="AB203" t="s">
        <v>45</v>
      </c>
      <c r="AC203" t="s">
        <v>39</v>
      </c>
      <c r="AD203" t="s">
        <v>40</v>
      </c>
      <c r="AE203" t="str">
        <f t="shared" si="3"/>
        <v>Wednesday</v>
      </c>
      <c r="AF203" s="12">
        <f>Table1[[#This Row],[Total Cost]]+Table1[[#This Row],[PROFIT]]</f>
        <v>155000</v>
      </c>
    </row>
    <row r="204" spans="1:32" x14ac:dyDescent="0.3">
      <c r="A204">
        <v>203</v>
      </c>
      <c r="B204">
        <v>187</v>
      </c>
      <c r="C204">
        <v>1</v>
      </c>
      <c r="D204" t="s">
        <v>475</v>
      </c>
      <c r="E204">
        <v>15750</v>
      </c>
      <c r="F204">
        <v>2266.5966386554619</v>
      </c>
      <c r="G204">
        <v>17</v>
      </c>
      <c r="H204" s="2">
        <v>43004.439583333333</v>
      </c>
      <c r="I204">
        <v>187</v>
      </c>
      <c r="J204" t="s">
        <v>130</v>
      </c>
      <c r="K204" t="s">
        <v>131</v>
      </c>
      <c r="L204" t="s">
        <v>132</v>
      </c>
      <c r="M204" t="s">
        <v>89</v>
      </c>
      <c r="N204" t="s">
        <v>90</v>
      </c>
      <c r="O204" t="s">
        <v>91</v>
      </c>
      <c r="P204">
        <v>13</v>
      </c>
      <c r="Q204">
        <v>12600</v>
      </c>
      <c r="R204">
        <v>1360</v>
      </c>
      <c r="S204">
        <v>750</v>
      </c>
      <c r="T204">
        <v>150</v>
      </c>
      <c r="U204">
        <v>15750</v>
      </c>
      <c r="V204">
        <v>14860</v>
      </c>
      <c r="W204">
        <v>5.9892328398384993E-2</v>
      </c>
      <c r="X204">
        <v>890</v>
      </c>
      <c r="Y204" t="s">
        <v>168</v>
      </c>
      <c r="Z204" s="2">
        <v>43003</v>
      </c>
      <c r="AA204">
        <v>2</v>
      </c>
      <c r="AB204" t="s">
        <v>66</v>
      </c>
      <c r="AC204" t="s">
        <v>51</v>
      </c>
      <c r="AD204" t="s">
        <v>52</v>
      </c>
      <c r="AE204" t="str">
        <f t="shared" si="3"/>
        <v>Tuesday</v>
      </c>
      <c r="AF204" s="12">
        <f>Table1[[#This Row],[Total Cost]]+Table1[[#This Row],[PROFIT]]</f>
        <v>15750</v>
      </c>
    </row>
    <row r="205" spans="1:32" x14ac:dyDescent="0.3">
      <c r="A205">
        <v>204</v>
      </c>
      <c r="B205">
        <v>188</v>
      </c>
      <c r="C205">
        <v>1</v>
      </c>
      <c r="D205" t="s">
        <v>476</v>
      </c>
      <c r="E205">
        <v>19500</v>
      </c>
      <c r="F205">
        <v>2266.5966386554619</v>
      </c>
      <c r="G205">
        <v>26</v>
      </c>
      <c r="H205" s="2">
        <v>43023.69027777778</v>
      </c>
      <c r="I205">
        <v>188</v>
      </c>
      <c r="J205" t="s">
        <v>205</v>
      </c>
      <c r="K205" t="s">
        <v>206</v>
      </c>
      <c r="L205" t="s">
        <v>207</v>
      </c>
      <c r="M205" t="s">
        <v>34</v>
      </c>
      <c r="N205" t="s">
        <v>35</v>
      </c>
      <c r="O205" t="s">
        <v>36</v>
      </c>
      <c r="P205">
        <v>15</v>
      </c>
      <c r="Q205">
        <v>15600</v>
      </c>
      <c r="R205">
        <v>1360</v>
      </c>
      <c r="S205">
        <v>750</v>
      </c>
      <c r="T205">
        <v>150</v>
      </c>
      <c r="U205">
        <v>19500</v>
      </c>
      <c r="V205">
        <v>17860</v>
      </c>
      <c r="W205">
        <v>9.1825307950727852E-2</v>
      </c>
      <c r="X205">
        <v>1640</v>
      </c>
      <c r="Y205" t="s">
        <v>73</v>
      </c>
      <c r="Z205" s="2">
        <v>43018</v>
      </c>
      <c r="AA205">
        <v>2</v>
      </c>
      <c r="AB205" t="s">
        <v>229</v>
      </c>
      <c r="AC205" t="s">
        <v>51</v>
      </c>
      <c r="AD205" t="s">
        <v>52</v>
      </c>
      <c r="AE205" t="str">
        <f t="shared" si="3"/>
        <v>Sunday</v>
      </c>
      <c r="AF205" s="12">
        <f>Table1[[#This Row],[Total Cost]]+Table1[[#This Row],[PROFIT]]</f>
        <v>19500</v>
      </c>
    </row>
    <row r="206" spans="1:32" x14ac:dyDescent="0.3">
      <c r="A206">
        <v>205</v>
      </c>
      <c r="B206">
        <v>189</v>
      </c>
      <c r="C206">
        <v>1</v>
      </c>
      <c r="D206" t="s">
        <v>477</v>
      </c>
      <c r="E206">
        <v>235000</v>
      </c>
      <c r="F206">
        <v>750</v>
      </c>
      <c r="G206">
        <v>35</v>
      </c>
      <c r="H206" s="2">
        <v>43023.773611111108</v>
      </c>
      <c r="I206">
        <v>189</v>
      </c>
      <c r="J206" t="s">
        <v>270</v>
      </c>
      <c r="K206" t="s">
        <v>271</v>
      </c>
      <c r="L206" t="s">
        <v>84</v>
      </c>
      <c r="M206" t="s">
        <v>64</v>
      </c>
      <c r="N206" t="s">
        <v>65</v>
      </c>
      <c r="O206" t="s">
        <v>36</v>
      </c>
      <c r="P206">
        <v>18</v>
      </c>
      <c r="Q206">
        <v>188000</v>
      </c>
      <c r="R206">
        <v>500</v>
      </c>
      <c r="S206">
        <v>1500</v>
      </c>
      <c r="T206">
        <v>1950</v>
      </c>
      <c r="U206">
        <v>235000</v>
      </c>
      <c r="V206">
        <v>191950</v>
      </c>
      <c r="W206">
        <v>0.22427715550924709</v>
      </c>
      <c r="X206">
        <v>43050</v>
      </c>
      <c r="Y206" t="s">
        <v>73</v>
      </c>
      <c r="Z206" s="2">
        <v>43018</v>
      </c>
      <c r="AA206">
        <v>3</v>
      </c>
      <c r="AB206" t="s">
        <v>186</v>
      </c>
      <c r="AC206" t="s">
        <v>181</v>
      </c>
      <c r="AD206" t="s">
        <v>40</v>
      </c>
      <c r="AE206" t="str">
        <f t="shared" si="3"/>
        <v>Sunday</v>
      </c>
      <c r="AF206" s="12">
        <f>Table1[[#This Row],[Total Cost]]+Table1[[#This Row],[PROFIT]]</f>
        <v>235000</v>
      </c>
    </row>
    <row r="207" spans="1:32" x14ac:dyDescent="0.3">
      <c r="A207">
        <v>206</v>
      </c>
      <c r="B207">
        <v>190</v>
      </c>
      <c r="C207">
        <v>1</v>
      </c>
      <c r="D207" t="s">
        <v>478</v>
      </c>
      <c r="E207">
        <v>25000</v>
      </c>
      <c r="F207">
        <v>1500</v>
      </c>
      <c r="G207">
        <v>14</v>
      </c>
      <c r="H207" s="2">
        <v>43040.815972222219</v>
      </c>
      <c r="I207">
        <v>190</v>
      </c>
      <c r="J207" t="s">
        <v>114</v>
      </c>
      <c r="K207" t="s">
        <v>115</v>
      </c>
      <c r="L207" t="s">
        <v>95</v>
      </c>
      <c r="M207" t="s">
        <v>34</v>
      </c>
      <c r="N207" t="s">
        <v>35</v>
      </c>
      <c r="O207" t="s">
        <v>36</v>
      </c>
      <c r="P207">
        <v>51</v>
      </c>
      <c r="Q207">
        <v>20000</v>
      </c>
      <c r="R207">
        <v>1360</v>
      </c>
      <c r="S207">
        <v>750</v>
      </c>
      <c r="T207">
        <v>150</v>
      </c>
      <c r="U207">
        <v>25000</v>
      </c>
      <c r="V207">
        <v>22260</v>
      </c>
      <c r="W207">
        <v>0.1230907457322552</v>
      </c>
      <c r="X207">
        <v>2740</v>
      </c>
      <c r="Y207" t="s">
        <v>73</v>
      </c>
      <c r="Z207" s="2">
        <v>43037</v>
      </c>
      <c r="AA207">
        <v>9</v>
      </c>
      <c r="AB207" t="s">
        <v>116</v>
      </c>
      <c r="AC207" t="s">
        <v>117</v>
      </c>
      <c r="AD207" t="s">
        <v>40</v>
      </c>
      <c r="AE207" t="str">
        <f t="shared" si="3"/>
        <v>Wednesday</v>
      </c>
      <c r="AF207" s="12">
        <f>Table1[[#This Row],[Total Cost]]+Table1[[#This Row],[PROFIT]]</f>
        <v>25000</v>
      </c>
    </row>
    <row r="208" spans="1:32" x14ac:dyDescent="0.3">
      <c r="A208">
        <v>207</v>
      </c>
      <c r="B208">
        <v>191</v>
      </c>
      <c r="C208">
        <v>1</v>
      </c>
      <c r="D208" t="s">
        <v>479</v>
      </c>
      <c r="E208">
        <v>245000</v>
      </c>
      <c r="F208">
        <v>2266.5966386554619</v>
      </c>
      <c r="G208">
        <v>47</v>
      </c>
      <c r="H208" s="2">
        <v>43040.524305555547</v>
      </c>
      <c r="I208">
        <v>191</v>
      </c>
      <c r="J208" t="s">
        <v>438</v>
      </c>
      <c r="K208" t="s">
        <v>439</v>
      </c>
      <c r="L208" t="s">
        <v>391</v>
      </c>
      <c r="M208" t="s">
        <v>240</v>
      </c>
      <c r="N208" t="s">
        <v>241</v>
      </c>
      <c r="O208" t="s">
        <v>36</v>
      </c>
      <c r="P208">
        <v>19</v>
      </c>
      <c r="Q208">
        <v>196000</v>
      </c>
      <c r="R208">
        <v>500</v>
      </c>
      <c r="S208">
        <v>3150</v>
      </c>
      <c r="T208">
        <v>1950</v>
      </c>
      <c r="U208">
        <v>245000</v>
      </c>
      <c r="V208">
        <v>201600</v>
      </c>
      <c r="W208">
        <v>0.21527777777777771</v>
      </c>
      <c r="X208">
        <v>43400</v>
      </c>
      <c r="Y208" t="s">
        <v>49</v>
      </c>
      <c r="Z208" s="2">
        <v>43037</v>
      </c>
      <c r="AA208">
        <v>3</v>
      </c>
      <c r="AB208" t="s">
        <v>367</v>
      </c>
      <c r="AC208" t="s">
        <v>181</v>
      </c>
      <c r="AD208" t="s">
        <v>40</v>
      </c>
      <c r="AE208" t="str">
        <f t="shared" si="3"/>
        <v>Wednesday</v>
      </c>
      <c r="AF208" s="12">
        <f>Table1[[#This Row],[Total Cost]]+Table1[[#This Row],[PROFIT]]</f>
        <v>245000</v>
      </c>
    </row>
    <row r="209" spans="1:32" x14ac:dyDescent="0.3">
      <c r="A209">
        <v>208</v>
      </c>
      <c r="B209">
        <v>192</v>
      </c>
      <c r="C209">
        <v>1</v>
      </c>
      <c r="D209" t="s">
        <v>480</v>
      </c>
      <c r="E209">
        <v>39500</v>
      </c>
      <c r="F209">
        <v>2266.5966386554619</v>
      </c>
      <c r="G209">
        <v>48</v>
      </c>
      <c r="H209" s="2">
        <v>43040.73333333333</v>
      </c>
      <c r="I209">
        <v>192</v>
      </c>
      <c r="J209" t="s">
        <v>442</v>
      </c>
      <c r="K209" t="s">
        <v>443</v>
      </c>
      <c r="L209" t="s">
        <v>395</v>
      </c>
      <c r="M209" t="s">
        <v>234</v>
      </c>
      <c r="N209" t="s">
        <v>235</v>
      </c>
      <c r="O209" t="s">
        <v>36</v>
      </c>
      <c r="P209">
        <v>93</v>
      </c>
      <c r="Q209">
        <v>31600</v>
      </c>
      <c r="R209">
        <v>970</v>
      </c>
      <c r="S209">
        <v>500</v>
      </c>
      <c r="T209">
        <v>550</v>
      </c>
      <c r="U209">
        <v>89000</v>
      </c>
      <c r="V209">
        <v>33620</v>
      </c>
      <c r="W209">
        <v>1.6472337894110649</v>
      </c>
      <c r="X209">
        <v>55380</v>
      </c>
      <c r="Y209" t="s">
        <v>73</v>
      </c>
      <c r="Z209" s="2">
        <v>43037</v>
      </c>
      <c r="AA209">
        <v>21</v>
      </c>
      <c r="AB209" t="s">
        <v>481</v>
      </c>
      <c r="AC209" t="s">
        <v>134</v>
      </c>
      <c r="AD209" t="s">
        <v>71</v>
      </c>
      <c r="AE209" t="str">
        <f t="shared" si="3"/>
        <v>Wednesday</v>
      </c>
      <c r="AF209" s="12">
        <f>Table1[[#This Row],[Total Cost]]+Table1[[#This Row],[PROFIT]]</f>
        <v>89000</v>
      </c>
    </row>
    <row r="210" spans="1:32" x14ac:dyDescent="0.3">
      <c r="A210">
        <v>209</v>
      </c>
      <c r="B210">
        <v>192</v>
      </c>
      <c r="C210">
        <v>2</v>
      </c>
      <c r="D210" t="s">
        <v>482</v>
      </c>
      <c r="E210">
        <v>49500</v>
      </c>
      <c r="F210">
        <v>2266.5966386554619</v>
      </c>
      <c r="G210">
        <v>48</v>
      </c>
      <c r="H210" s="2">
        <v>43040.73333333333</v>
      </c>
      <c r="I210">
        <v>192</v>
      </c>
      <c r="J210" t="s">
        <v>442</v>
      </c>
      <c r="K210" t="s">
        <v>443</v>
      </c>
      <c r="L210" t="s">
        <v>395</v>
      </c>
      <c r="M210" t="s">
        <v>234</v>
      </c>
      <c r="N210" t="s">
        <v>235</v>
      </c>
      <c r="O210" t="s">
        <v>36</v>
      </c>
      <c r="P210">
        <v>11</v>
      </c>
      <c r="Q210">
        <v>39600</v>
      </c>
      <c r="R210">
        <v>500</v>
      </c>
      <c r="S210">
        <v>500</v>
      </c>
      <c r="T210">
        <v>550</v>
      </c>
      <c r="U210">
        <v>89000</v>
      </c>
      <c r="V210">
        <v>41150</v>
      </c>
      <c r="W210">
        <v>1.162818955042527</v>
      </c>
      <c r="X210">
        <v>47850</v>
      </c>
      <c r="Y210" t="s">
        <v>126</v>
      </c>
      <c r="Z210" s="2">
        <v>42554</v>
      </c>
      <c r="AA210">
        <v>2</v>
      </c>
      <c r="AB210" t="s">
        <v>50</v>
      </c>
      <c r="AC210" t="s">
        <v>51</v>
      </c>
      <c r="AD210" t="s">
        <v>52</v>
      </c>
      <c r="AE210" t="str">
        <f t="shared" si="3"/>
        <v>Wednesday</v>
      </c>
      <c r="AF210" s="12">
        <f>Table1[[#This Row],[Total Cost]]+Table1[[#This Row],[PROFIT]]</f>
        <v>89000</v>
      </c>
    </row>
    <row r="211" spans="1:32" x14ac:dyDescent="0.3">
      <c r="A211">
        <v>210</v>
      </c>
      <c r="B211">
        <v>193</v>
      </c>
      <c r="C211">
        <v>1</v>
      </c>
      <c r="D211" t="s">
        <v>483</v>
      </c>
      <c r="E211">
        <v>23500</v>
      </c>
      <c r="F211">
        <v>2266.5966386554619</v>
      </c>
      <c r="G211">
        <v>49</v>
      </c>
      <c r="H211" s="2">
        <v>43045.9</v>
      </c>
      <c r="I211">
        <v>193</v>
      </c>
      <c r="J211" t="s">
        <v>448</v>
      </c>
      <c r="K211" t="s">
        <v>449</v>
      </c>
      <c r="L211" t="s">
        <v>265</v>
      </c>
      <c r="M211" t="s">
        <v>266</v>
      </c>
      <c r="N211" t="s">
        <v>267</v>
      </c>
      <c r="O211" t="s">
        <v>36</v>
      </c>
      <c r="P211">
        <v>91</v>
      </c>
      <c r="Q211">
        <v>18800</v>
      </c>
      <c r="R211">
        <v>1360</v>
      </c>
      <c r="S211">
        <v>500</v>
      </c>
      <c r="T211">
        <v>150</v>
      </c>
      <c r="U211">
        <v>34000</v>
      </c>
      <c r="V211">
        <v>20810</v>
      </c>
      <c r="W211">
        <v>0.63382988947621333</v>
      </c>
      <c r="X211">
        <v>13190</v>
      </c>
      <c r="Y211" t="s">
        <v>73</v>
      </c>
      <c r="Z211" s="2">
        <v>43040</v>
      </c>
      <c r="AA211">
        <v>21</v>
      </c>
      <c r="AB211" t="s">
        <v>444</v>
      </c>
      <c r="AC211" t="s">
        <v>134</v>
      </c>
      <c r="AD211" t="s">
        <v>71</v>
      </c>
      <c r="AE211" t="str">
        <f t="shared" si="3"/>
        <v>Monday</v>
      </c>
      <c r="AF211" s="12">
        <f>Table1[[#This Row],[Total Cost]]+Table1[[#This Row],[PROFIT]]</f>
        <v>34000</v>
      </c>
    </row>
    <row r="212" spans="1:32" x14ac:dyDescent="0.3">
      <c r="A212">
        <v>211</v>
      </c>
      <c r="B212">
        <v>193</v>
      </c>
      <c r="C212">
        <v>2</v>
      </c>
      <c r="D212" t="s">
        <v>484</v>
      </c>
      <c r="E212">
        <v>10500</v>
      </c>
      <c r="F212">
        <v>2266.5966386554619</v>
      </c>
      <c r="G212">
        <v>49</v>
      </c>
      <c r="H212" s="2">
        <v>43045.9</v>
      </c>
      <c r="I212">
        <v>193</v>
      </c>
      <c r="J212" t="s">
        <v>448</v>
      </c>
      <c r="K212" t="s">
        <v>449</v>
      </c>
      <c r="L212" t="s">
        <v>265</v>
      </c>
      <c r="M212" t="s">
        <v>266</v>
      </c>
      <c r="N212" t="s">
        <v>267</v>
      </c>
      <c r="O212" t="s">
        <v>36</v>
      </c>
      <c r="P212">
        <v>51</v>
      </c>
      <c r="Q212">
        <v>8400</v>
      </c>
      <c r="R212">
        <v>500</v>
      </c>
      <c r="S212">
        <v>750</v>
      </c>
      <c r="T212">
        <v>150</v>
      </c>
      <c r="U212">
        <v>34000</v>
      </c>
      <c r="V212">
        <v>9800</v>
      </c>
      <c r="W212">
        <v>2.4693877551020411</v>
      </c>
      <c r="X212">
        <v>24200</v>
      </c>
      <c r="Y212" t="s">
        <v>73</v>
      </c>
      <c r="Z212" s="2">
        <v>43040</v>
      </c>
      <c r="AA212">
        <v>9</v>
      </c>
      <c r="AB212" t="s">
        <v>116</v>
      </c>
      <c r="AC212" t="s">
        <v>117</v>
      </c>
      <c r="AD212" t="s">
        <v>40</v>
      </c>
      <c r="AE212" t="str">
        <f t="shared" si="3"/>
        <v>Monday</v>
      </c>
      <c r="AF212" s="12">
        <f>Table1[[#This Row],[Total Cost]]+Table1[[#This Row],[PROFIT]]</f>
        <v>34000</v>
      </c>
    </row>
    <row r="213" spans="1:32" x14ac:dyDescent="0.3">
      <c r="A213">
        <v>212</v>
      </c>
      <c r="B213">
        <v>194</v>
      </c>
      <c r="C213">
        <v>1</v>
      </c>
      <c r="D213" t="s">
        <v>485</v>
      </c>
      <c r="E213">
        <v>11500</v>
      </c>
      <c r="F213">
        <v>750</v>
      </c>
      <c r="G213">
        <v>50</v>
      </c>
      <c r="H213" s="2">
        <v>43051.484027777777</v>
      </c>
      <c r="I213">
        <v>194</v>
      </c>
      <c r="J213" t="s">
        <v>454</v>
      </c>
      <c r="K213" t="s">
        <v>455</v>
      </c>
      <c r="L213" t="s">
        <v>110</v>
      </c>
      <c r="M213" t="s">
        <v>64</v>
      </c>
      <c r="N213" t="s">
        <v>65</v>
      </c>
      <c r="O213" t="s">
        <v>36</v>
      </c>
      <c r="P213">
        <v>52</v>
      </c>
      <c r="Q213">
        <v>9200</v>
      </c>
      <c r="R213">
        <v>500</v>
      </c>
      <c r="S213">
        <v>150</v>
      </c>
      <c r="T213">
        <v>150</v>
      </c>
      <c r="U213">
        <v>62700</v>
      </c>
      <c r="V213">
        <v>10000</v>
      </c>
      <c r="W213">
        <v>5.27</v>
      </c>
      <c r="X213">
        <v>52700</v>
      </c>
      <c r="Y213" t="s">
        <v>44</v>
      </c>
      <c r="Z213" s="2">
        <v>43050</v>
      </c>
      <c r="AA213">
        <v>9</v>
      </c>
      <c r="AB213" t="s">
        <v>198</v>
      </c>
      <c r="AC213" t="s">
        <v>117</v>
      </c>
      <c r="AD213" t="s">
        <v>40</v>
      </c>
      <c r="AE213" t="str">
        <f t="shared" si="3"/>
        <v>Sunday</v>
      </c>
      <c r="AF213" s="12">
        <f>Table1[[#This Row],[Total Cost]]+Table1[[#This Row],[PROFIT]]</f>
        <v>62700</v>
      </c>
    </row>
    <row r="214" spans="1:32" x14ac:dyDescent="0.3">
      <c r="A214">
        <v>213</v>
      </c>
      <c r="B214">
        <v>194</v>
      </c>
      <c r="C214">
        <v>2</v>
      </c>
      <c r="D214" t="s">
        <v>486</v>
      </c>
      <c r="E214">
        <v>51200</v>
      </c>
      <c r="F214">
        <v>2266.5966386554619</v>
      </c>
      <c r="G214">
        <v>50</v>
      </c>
      <c r="H214" s="2">
        <v>43051.484027777777</v>
      </c>
      <c r="I214">
        <v>194</v>
      </c>
      <c r="J214" t="s">
        <v>454</v>
      </c>
      <c r="K214" t="s">
        <v>455</v>
      </c>
      <c r="L214" t="s">
        <v>110</v>
      </c>
      <c r="M214" t="s">
        <v>64</v>
      </c>
      <c r="N214" t="s">
        <v>65</v>
      </c>
      <c r="O214" t="s">
        <v>36</v>
      </c>
      <c r="P214">
        <v>11</v>
      </c>
      <c r="Q214">
        <v>40960</v>
      </c>
      <c r="R214">
        <v>1360</v>
      </c>
      <c r="S214">
        <v>500</v>
      </c>
      <c r="T214">
        <v>550</v>
      </c>
      <c r="U214">
        <v>62700</v>
      </c>
      <c r="V214">
        <v>43370</v>
      </c>
      <c r="W214">
        <v>0.44569979248328329</v>
      </c>
      <c r="X214">
        <v>19330</v>
      </c>
      <c r="Y214" t="s">
        <v>73</v>
      </c>
      <c r="Z214" s="2">
        <v>43050</v>
      </c>
      <c r="AA214">
        <v>2</v>
      </c>
      <c r="AB214" t="s">
        <v>50</v>
      </c>
      <c r="AC214" t="s">
        <v>51</v>
      </c>
      <c r="AD214" t="s">
        <v>52</v>
      </c>
      <c r="AE214" t="str">
        <f t="shared" si="3"/>
        <v>Sunday</v>
      </c>
      <c r="AF214" s="12">
        <f>Table1[[#This Row],[Total Cost]]+Table1[[#This Row],[PROFIT]]</f>
        <v>62700</v>
      </c>
    </row>
    <row r="215" spans="1:32" x14ac:dyDescent="0.3">
      <c r="A215">
        <v>214</v>
      </c>
      <c r="B215">
        <v>195</v>
      </c>
      <c r="C215">
        <v>1</v>
      </c>
      <c r="D215" t="s">
        <v>487</v>
      </c>
      <c r="E215">
        <v>45950</v>
      </c>
      <c r="F215">
        <v>2266.5966386554619</v>
      </c>
      <c r="G215">
        <v>2</v>
      </c>
      <c r="H215" s="2">
        <v>43070.734027777777</v>
      </c>
      <c r="I215">
        <v>195</v>
      </c>
      <c r="J215" t="s">
        <v>42</v>
      </c>
      <c r="K215" t="s">
        <v>43</v>
      </c>
      <c r="L215" t="s">
        <v>33</v>
      </c>
      <c r="M215" t="s">
        <v>34</v>
      </c>
      <c r="N215" t="s">
        <v>35</v>
      </c>
      <c r="O215" t="s">
        <v>36</v>
      </c>
      <c r="P215">
        <v>21</v>
      </c>
      <c r="Q215">
        <v>36760</v>
      </c>
      <c r="R215">
        <v>500</v>
      </c>
      <c r="S215">
        <v>150</v>
      </c>
      <c r="T215">
        <v>550</v>
      </c>
      <c r="U215">
        <v>45950</v>
      </c>
      <c r="V215">
        <v>37960</v>
      </c>
      <c r="W215">
        <v>0.21048472075869329</v>
      </c>
      <c r="X215">
        <v>7990</v>
      </c>
      <c r="Y215" t="s">
        <v>73</v>
      </c>
      <c r="Z215" s="2">
        <v>43069</v>
      </c>
      <c r="AA215">
        <v>4</v>
      </c>
      <c r="AB215" t="s">
        <v>398</v>
      </c>
      <c r="AC215" t="s">
        <v>70</v>
      </c>
      <c r="AD215" t="s">
        <v>71</v>
      </c>
      <c r="AE215" t="str">
        <f t="shared" si="3"/>
        <v>Friday</v>
      </c>
      <c r="AF215" s="12">
        <f>Table1[[#This Row],[Total Cost]]+Table1[[#This Row],[PROFIT]]</f>
        <v>45950</v>
      </c>
    </row>
    <row r="216" spans="1:32" x14ac:dyDescent="0.3">
      <c r="A216">
        <v>215</v>
      </c>
      <c r="B216">
        <v>196</v>
      </c>
      <c r="C216">
        <v>1</v>
      </c>
      <c r="D216" t="s">
        <v>488</v>
      </c>
      <c r="E216">
        <v>21600</v>
      </c>
      <c r="F216">
        <v>2266.5966386554619</v>
      </c>
      <c r="G216">
        <v>12</v>
      </c>
      <c r="H216" s="2">
        <v>43070.901388888888</v>
      </c>
      <c r="I216">
        <v>196</v>
      </c>
      <c r="J216" t="s">
        <v>105</v>
      </c>
      <c r="K216" t="s">
        <v>106</v>
      </c>
      <c r="L216" t="s">
        <v>95</v>
      </c>
      <c r="M216" t="s">
        <v>34</v>
      </c>
      <c r="N216" t="s">
        <v>35</v>
      </c>
      <c r="O216" t="s">
        <v>36</v>
      </c>
      <c r="P216">
        <v>12</v>
      </c>
      <c r="Q216">
        <v>17280</v>
      </c>
      <c r="R216">
        <v>1360</v>
      </c>
      <c r="S216">
        <v>750</v>
      </c>
      <c r="T216">
        <v>150</v>
      </c>
      <c r="U216">
        <v>21600</v>
      </c>
      <c r="V216">
        <v>19540</v>
      </c>
      <c r="W216">
        <v>0.1054247697031729</v>
      </c>
      <c r="X216">
        <v>2060</v>
      </c>
      <c r="Y216" t="s">
        <v>37</v>
      </c>
      <c r="Z216" s="2">
        <v>43069</v>
      </c>
      <c r="AA216">
        <v>2</v>
      </c>
      <c r="AB216" t="s">
        <v>59</v>
      </c>
      <c r="AC216" t="s">
        <v>51</v>
      </c>
      <c r="AD216" t="s">
        <v>52</v>
      </c>
      <c r="AE216" t="str">
        <f t="shared" si="3"/>
        <v>Friday</v>
      </c>
      <c r="AF216" s="12">
        <f>Table1[[#This Row],[Total Cost]]+Table1[[#This Row],[PROFIT]]</f>
        <v>21600</v>
      </c>
    </row>
    <row r="217" spans="1:32" x14ac:dyDescent="0.3">
      <c r="A217">
        <v>216</v>
      </c>
      <c r="B217">
        <v>197</v>
      </c>
      <c r="C217">
        <v>1</v>
      </c>
      <c r="D217" t="s">
        <v>489</v>
      </c>
      <c r="E217">
        <v>25000</v>
      </c>
      <c r="F217">
        <v>1250</v>
      </c>
      <c r="G217">
        <v>22</v>
      </c>
      <c r="H217" s="2">
        <v>43074.526388888888</v>
      </c>
      <c r="I217">
        <v>197</v>
      </c>
      <c r="J217" t="s">
        <v>171</v>
      </c>
      <c r="K217" t="s">
        <v>172</v>
      </c>
      <c r="L217" t="s">
        <v>142</v>
      </c>
      <c r="M217" t="s">
        <v>34</v>
      </c>
      <c r="N217" t="s">
        <v>35</v>
      </c>
      <c r="O217" t="s">
        <v>36</v>
      </c>
      <c r="P217">
        <v>939</v>
      </c>
      <c r="Q217">
        <v>20000</v>
      </c>
      <c r="R217">
        <v>500</v>
      </c>
      <c r="S217">
        <v>750</v>
      </c>
      <c r="T217">
        <v>150</v>
      </c>
      <c r="U217">
        <v>25000</v>
      </c>
      <c r="V217">
        <v>21400</v>
      </c>
      <c r="W217">
        <v>0.16822429906542061</v>
      </c>
      <c r="X217">
        <v>3600</v>
      </c>
      <c r="Y217" t="s">
        <v>73</v>
      </c>
      <c r="Z217" s="2">
        <v>43070</v>
      </c>
      <c r="AA217">
        <v>8.7155172413793096</v>
      </c>
      <c r="AB217" t="s">
        <v>245</v>
      </c>
      <c r="AC217" t="s">
        <v>70</v>
      </c>
      <c r="AD217" t="s">
        <v>71</v>
      </c>
      <c r="AE217" t="str">
        <f t="shared" si="3"/>
        <v>Tuesday</v>
      </c>
      <c r="AF217" s="12">
        <f>Table1[[#This Row],[Total Cost]]+Table1[[#This Row],[PROFIT]]</f>
        <v>25000</v>
      </c>
    </row>
    <row r="218" spans="1:32" x14ac:dyDescent="0.3">
      <c r="A218">
        <v>217</v>
      </c>
      <c r="B218">
        <v>198</v>
      </c>
      <c r="C218">
        <v>1</v>
      </c>
      <c r="D218" t="s">
        <v>490</v>
      </c>
      <c r="E218">
        <v>23600</v>
      </c>
      <c r="F218">
        <v>2266.5966386554619</v>
      </c>
      <c r="G218">
        <v>23</v>
      </c>
      <c r="H218" s="2">
        <v>43074.48541666667</v>
      </c>
      <c r="I218">
        <v>198</v>
      </c>
      <c r="J218" t="s">
        <v>174</v>
      </c>
      <c r="K218" t="s">
        <v>175</v>
      </c>
      <c r="L218" t="s">
        <v>176</v>
      </c>
      <c r="M218" t="s">
        <v>57</v>
      </c>
      <c r="N218" t="s">
        <v>58</v>
      </c>
      <c r="O218" t="s">
        <v>36</v>
      </c>
      <c r="P218">
        <v>55</v>
      </c>
      <c r="Q218">
        <v>18880</v>
      </c>
      <c r="R218">
        <v>1360</v>
      </c>
      <c r="S218">
        <v>750</v>
      </c>
      <c r="T218">
        <v>150</v>
      </c>
      <c r="U218">
        <v>23600</v>
      </c>
      <c r="V218">
        <v>21140</v>
      </c>
      <c r="W218">
        <v>0.1163670766319773</v>
      </c>
      <c r="X218">
        <v>2460</v>
      </c>
      <c r="Y218" t="s">
        <v>68</v>
      </c>
      <c r="Z218" s="2">
        <v>43070</v>
      </c>
      <c r="AA218">
        <v>10</v>
      </c>
      <c r="AB218" t="s">
        <v>350</v>
      </c>
      <c r="AC218" t="s">
        <v>351</v>
      </c>
      <c r="AD218" t="s">
        <v>71</v>
      </c>
      <c r="AE218" t="str">
        <f t="shared" si="3"/>
        <v>Tuesday</v>
      </c>
      <c r="AF218" s="12">
        <f>Table1[[#This Row],[Total Cost]]+Table1[[#This Row],[PROFIT]]</f>
        <v>23600</v>
      </c>
    </row>
    <row r="219" spans="1:32" x14ac:dyDescent="0.3">
      <c r="A219">
        <v>218</v>
      </c>
      <c r="B219">
        <v>199</v>
      </c>
      <c r="C219">
        <v>1</v>
      </c>
      <c r="D219" t="s">
        <v>491</v>
      </c>
      <c r="E219">
        <v>99950</v>
      </c>
      <c r="F219">
        <v>2266.5966386554619</v>
      </c>
      <c r="G219">
        <v>32</v>
      </c>
      <c r="H219" s="2">
        <v>43079.443749999999</v>
      </c>
      <c r="I219">
        <v>199</v>
      </c>
      <c r="J219" t="s">
        <v>231</v>
      </c>
      <c r="K219" t="s">
        <v>232</v>
      </c>
      <c r="L219" t="s">
        <v>233</v>
      </c>
      <c r="M219" t="s">
        <v>234</v>
      </c>
      <c r="N219" t="s">
        <v>235</v>
      </c>
      <c r="O219" t="s">
        <v>36</v>
      </c>
      <c r="P219">
        <v>33</v>
      </c>
      <c r="Q219">
        <v>79960</v>
      </c>
      <c r="R219">
        <v>1490</v>
      </c>
      <c r="S219">
        <v>750</v>
      </c>
      <c r="T219">
        <v>750</v>
      </c>
      <c r="U219">
        <v>99950</v>
      </c>
      <c r="V219">
        <v>82950</v>
      </c>
      <c r="W219">
        <v>0.20494273658830631</v>
      </c>
      <c r="X219">
        <v>17000</v>
      </c>
      <c r="Y219" t="s">
        <v>73</v>
      </c>
      <c r="Z219" s="2">
        <v>43076</v>
      </c>
      <c r="AA219">
        <v>5</v>
      </c>
      <c r="AB219" t="s">
        <v>300</v>
      </c>
      <c r="AC219" t="s">
        <v>98</v>
      </c>
      <c r="AD219" t="s">
        <v>71</v>
      </c>
      <c r="AE219" t="str">
        <f t="shared" si="3"/>
        <v>Sunday</v>
      </c>
      <c r="AF219" s="12">
        <f>Table1[[#This Row],[Total Cost]]+Table1[[#This Row],[PROFIT]]</f>
        <v>99950</v>
      </c>
    </row>
    <row r="220" spans="1:32" x14ac:dyDescent="0.3">
      <c r="A220">
        <v>219</v>
      </c>
      <c r="B220">
        <v>200</v>
      </c>
      <c r="C220">
        <v>1</v>
      </c>
      <c r="D220" t="s">
        <v>492</v>
      </c>
      <c r="E220">
        <v>46900</v>
      </c>
      <c r="F220">
        <v>2266.5966386554619</v>
      </c>
      <c r="G220">
        <v>41</v>
      </c>
      <c r="H220" s="2">
        <v>43079.694444444453</v>
      </c>
      <c r="I220">
        <v>200</v>
      </c>
      <c r="J220" t="s">
        <v>389</v>
      </c>
      <c r="K220" t="s">
        <v>390</v>
      </c>
      <c r="L220" t="s">
        <v>391</v>
      </c>
      <c r="M220" t="s">
        <v>240</v>
      </c>
      <c r="N220" t="s">
        <v>241</v>
      </c>
      <c r="O220" t="s">
        <v>36</v>
      </c>
      <c r="P220">
        <v>22</v>
      </c>
      <c r="Q220">
        <v>37520</v>
      </c>
      <c r="R220">
        <v>500</v>
      </c>
      <c r="S220">
        <v>1500</v>
      </c>
      <c r="T220">
        <v>550</v>
      </c>
      <c r="U220">
        <v>46900</v>
      </c>
      <c r="V220">
        <v>40070</v>
      </c>
      <c r="W220">
        <v>0.17045170950836039</v>
      </c>
      <c r="X220">
        <v>6830</v>
      </c>
      <c r="Y220" t="s">
        <v>126</v>
      </c>
      <c r="Z220" s="2">
        <v>43076</v>
      </c>
      <c r="AA220">
        <v>4</v>
      </c>
      <c r="AB220" t="s">
        <v>69</v>
      </c>
      <c r="AC220" t="s">
        <v>70</v>
      </c>
      <c r="AD220" t="s">
        <v>71</v>
      </c>
      <c r="AE220" t="str">
        <f t="shared" si="3"/>
        <v>Sunday</v>
      </c>
      <c r="AF220" s="12">
        <f>Table1[[#This Row],[Total Cost]]+Table1[[#This Row],[PROFIT]]</f>
        <v>46900</v>
      </c>
    </row>
    <row r="221" spans="1:32" x14ac:dyDescent="0.3">
      <c r="A221">
        <v>220</v>
      </c>
      <c r="B221">
        <v>201</v>
      </c>
      <c r="C221">
        <v>1</v>
      </c>
      <c r="D221" t="s">
        <v>493</v>
      </c>
      <c r="E221">
        <v>45950</v>
      </c>
      <c r="F221">
        <v>2266.5966386554619</v>
      </c>
      <c r="G221">
        <v>45</v>
      </c>
      <c r="H221" s="2">
        <v>43079.736111111109</v>
      </c>
      <c r="I221">
        <v>201</v>
      </c>
      <c r="J221" t="s">
        <v>417</v>
      </c>
      <c r="K221" t="s">
        <v>418</v>
      </c>
      <c r="L221" t="s">
        <v>95</v>
      </c>
      <c r="M221" t="s">
        <v>34</v>
      </c>
      <c r="N221" t="s">
        <v>35</v>
      </c>
      <c r="O221" t="s">
        <v>36</v>
      </c>
      <c r="P221">
        <v>11</v>
      </c>
      <c r="Q221">
        <v>36760</v>
      </c>
      <c r="R221">
        <v>2000</v>
      </c>
      <c r="S221">
        <v>500</v>
      </c>
      <c r="T221">
        <v>550</v>
      </c>
      <c r="U221">
        <v>45950</v>
      </c>
      <c r="V221">
        <v>39810</v>
      </c>
      <c r="W221">
        <v>0.15423260487314749</v>
      </c>
      <c r="X221">
        <v>6140</v>
      </c>
      <c r="Y221" t="s">
        <v>73</v>
      </c>
      <c r="Z221" s="2">
        <v>43078</v>
      </c>
      <c r="AA221">
        <v>2</v>
      </c>
      <c r="AB221" t="s">
        <v>50</v>
      </c>
      <c r="AC221" t="s">
        <v>51</v>
      </c>
      <c r="AD221" t="s">
        <v>52</v>
      </c>
      <c r="AE221" t="str">
        <f t="shared" si="3"/>
        <v>Sunday</v>
      </c>
      <c r="AF221" s="12">
        <f>Table1[[#This Row],[Total Cost]]+Table1[[#This Row],[PROFIT]]</f>
        <v>45950</v>
      </c>
    </row>
    <row r="222" spans="1:32" x14ac:dyDescent="0.3">
      <c r="A222">
        <v>221</v>
      </c>
      <c r="B222">
        <v>202</v>
      </c>
      <c r="C222">
        <v>1</v>
      </c>
      <c r="D222" t="s">
        <v>494</v>
      </c>
      <c r="E222">
        <v>7550</v>
      </c>
      <c r="F222">
        <v>2266.5966386554619</v>
      </c>
      <c r="G222">
        <v>46</v>
      </c>
      <c r="H222" s="2">
        <v>43079.52847222222</v>
      </c>
      <c r="I222">
        <v>202</v>
      </c>
      <c r="J222" t="s">
        <v>423</v>
      </c>
      <c r="K222" t="s">
        <v>424</v>
      </c>
      <c r="L222" t="s">
        <v>110</v>
      </c>
      <c r="M222" t="s">
        <v>64</v>
      </c>
      <c r="N222" t="s">
        <v>65</v>
      </c>
      <c r="O222" t="s">
        <v>36</v>
      </c>
      <c r="P222">
        <v>12</v>
      </c>
      <c r="Q222">
        <v>6040</v>
      </c>
      <c r="R222">
        <v>500</v>
      </c>
      <c r="S222">
        <v>750</v>
      </c>
      <c r="T222">
        <v>150</v>
      </c>
      <c r="U222">
        <v>7550</v>
      </c>
      <c r="V222">
        <v>7440</v>
      </c>
      <c r="W222">
        <v>1.4784946236559239E-2</v>
      </c>
      <c r="X222">
        <v>110</v>
      </c>
      <c r="Y222" t="s">
        <v>37</v>
      </c>
      <c r="Z222" s="2">
        <v>43078</v>
      </c>
      <c r="AA222">
        <v>2</v>
      </c>
      <c r="AB222" t="s">
        <v>59</v>
      </c>
      <c r="AC222" t="s">
        <v>51</v>
      </c>
      <c r="AD222" t="s">
        <v>52</v>
      </c>
      <c r="AE222" t="str">
        <f t="shared" si="3"/>
        <v>Sunday</v>
      </c>
      <c r="AF222" s="12">
        <f>Table1[[#This Row],[Total Cost]]+Table1[[#This Row],[PROFIT]]</f>
        <v>7550</v>
      </c>
    </row>
    <row r="223" spans="1:32" x14ac:dyDescent="0.3">
      <c r="A223">
        <v>222</v>
      </c>
      <c r="B223">
        <v>203</v>
      </c>
      <c r="C223">
        <v>1</v>
      </c>
      <c r="D223" t="s">
        <v>495</v>
      </c>
      <c r="E223">
        <v>11990</v>
      </c>
      <c r="F223">
        <v>900</v>
      </c>
      <c r="G223">
        <v>48</v>
      </c>
      <c r="H223" s="2">
        <v>43081.611805555563</v>
      </c>
      <c r="I223">
        <v>203</v>
      </c>
      <c r="J223" t="s">
        <v>442</v>
      </c>
      <c r="K223" t="s">
        <v>443</v>
      </c>
      <c r="L223" t="s">
        <v>395</v>
      </c>
      <c r="M223" t="s">
        <v>234</v>
      </c>
      <c r="N223" t="s">
        <v>235</v>
      </c>
      <c r="O223" t="s">
        <v>36</v>
      </c>
      <c r="P223">
        <v>12</v>
      </c>
      <c r="Q223">
        <v>9592</v>
      </c>
      <c r="R223">
        <v>500</v>
      </c>
      <c r="S223">
        <v>750</v>
      </c>
      <c r="T223">
        <v>150</v>
      </c>
      <c r="U223">
        <v>11990</v>
      </c>
      <c r="V223">
        <v>10992</v>
      </c>
      <c r="W223">
        <v>9.0793304221251869E-2</v>
      </c>
      <c r="X223">
        <v>998</v>
      </c>
      <c r="Y223" t="s">
        <v>103</v>
      </c>
      <c r="Z223" s="2">
        <v>43079</v>
      </c>
      <c r="AA223">
        <v>2</v>
      </c>
      <c r="AB223" t="s">
        <v>59</v>
      </c>
      <c r="AC223" t="s">
        <v>51</v>
      </c>
      <c r="AD223" t="s">
        <v>52</v>
      </c>
      <c r="AE223" t="str">
        <f t="shared" si="3"/>
        <v>Tuesday</v>
      </c>
      <c r="AF223" s="12">
        <f>Table1[[#This Row],[Total Cost]]+Table1[[#This Row],[PROFIT]]</f>
        <v>11990</v>
      </c>
    </row>
    <row r="224" spans="1:32" x14ac:dyDescent="0.3">
      <c r="A224">
        <v>223</v>
      </c>
      <c r="B224">
        <v>204</v>
      </c>
      <c r="C224">
        <v>1</v>
      </c>
      <c r="D224" t="s">
        <v>496</v>
      </c>
      <c r="E224">
        <v>12500</v>
      </c>
      <c r="F224">
        <v>2266.5966386554619</v>
      </c>
      <c r="G224">
        <v>36</v>
      </c>
      <c r="H224" s="2">
        <v>43096.737500000003</v>
      </c>
      <c r="I224">
        <v>204</v>
      </c>
      <c r="J224" t="s">
        <v>273</v>
      </c>
      <c r="K224" t="s">
        <v>274</v>
      </c>
      <c r="L224" t="s">
        <v>88</v>
      </c>
      <c r="M224" t="s">
        <v>89</v>
      </c>
      <c r="N224" t="s">
        <v>90</v>
      </c>
      <c r="O224" t="s">
        <v>91</v>
      </c>
      <c r="P224">
        <v>13</v>
      </c>
      <c r="Q224">
        <v>10000</v>
      </c>
      <c r="R224">
        <v>500</v>
      </c>
      <c r="S224">
        <v>750</v>
      </c>
      <c r="T224">
        <v>150</v>
      </c>
      <c r="U224">
        <v>12500</v>
      </c>
      <c r="V224">
        <v>11400</v>
      </c>
      <c r="W224">
        <v>9.6491228070175517E-2</v>
      </c>
      <c r="X224">
        <v>1100</v>
      </c>
      <c r="Y224" t="s">
        <v>73</v>
      </c>
      <c r="Z224" s="2">
        <v>43088</v>
      </c>
      <c r="AA224">
        <v>2</v>
      </c>
      <c r="AB224" t="s">
        <v>66</v>
      </c>
      <c r="AC224" t="s">
        <v>51</v>
      </c>
      <c r="AD224" t="s">
        <v>52</v>
      </c>
      <c r="AE224" t="str">
        <f t="shared" si="3"/>
        <v>Wednesday</v>
      </c>
      <c r="AF224" s="12">
        <f>Table1[[#This Row],[Total Cost]]+Table1[[#This Row],[PROFIT]]</f>
        <v>12500</v>
      </c>
    </row>
    <row r="225" spans="1:32" x14ac:dyDescent="0.3">
      <c r="A225">
        <v>224</v>
      </c>
      <c r="B225">
        <v>205</v>
      </c>
      <c r="C225">
        <v>1</v>
      </c>
      <c r="D225" t="s">
        <v>497</v>
      </c>
      <c r="E225">
        <v>7500</v>
      </c>
      <c r="F225">
        <v>2266.5966386554619</v>
      </c>
      <c r="G225">
        <v>37</v>
      </c>
      <c r="H225" s="2">
        <v>43096.529166666667</v>
      </c>
      <c r="I225">
        <v>205</v>
      </c>
      <c r="J225" t="s">
        <v>273</v>
      </c>
      <c r="K225" t="s">
        <v>276</v>
      </c>
      <c r="L225" t="s">
        <v>95</v>
      </c>
      <c r="M225" t="s">
        <v>34</v>
      </c>
      <c r="N225" t="s">
        <v>35</v>
      </c>
      <c r="O225" t="s">
        <v>36</v>
      </c>
      <c r="P225">
        <v>13</v>
      </c>
      <c r="Q225">
        <v>6000</v>
      </c>
      <c r="R225">
        <v>500</v>
      </c>
      <c r="S225">
        <v>750</v>
      </c>
      <c r="T225">
        <v>150</v>
      </c>
      <c r="U225">
        <v>7500</v>
      </c>
      <c r="V225">
        <v>7400</v>
      </c>
      <c r="W225">
        <v>1.3513513513513599E-2</v>
      </c>
      <c r="X225">
        <v>100</v>
      </c>
      <c r="Y225" t="s">
        <v>44</v>
      </c>
      <c r="Z225" s="2">
        <v>43089</v>
      </c>
      <c r="AA225">
        <v>2</v>
      </c>
      <c r="AB225" t="s">
        <v>66</v>
      </c>
      <c r="AC225" t="s">
        <v>51</v>
      </c>
      <c r="AD225" t="s">
        <v>52</v>
      </c>
      <c r="AE225" t="str">
        <f t="shared" si="3"/>
        <v>Wednesday</v>
      </c>
      <c r="AF225" s="12">
        <f>Table1[[#This Row],[Total Cost]]+Table1[[#This Row],[PROFIT]]</f>
        <v>7500</v>
      </c>
    </row>
    <row r="226" spans="1:32" x14ac:dyDescent="0.3">
      <c r="A226">
        <v>225</v>
      </c>
      <c r="B226">
        <v>206</v>
      </c>
      <c r="C226">
        <v>1</v>
      </c>
      <c r="D226" t="s">
        <v>498</v>
      </c>
      <c r="E226">
        <v>56850</v>
      </c>
      <c r="F226">
        <v>2266.5966386554619</v>
      </c>
      <c r="G226">
        <v>25</v>
      </c>
      <c r="H226" s="2">
        <v>43102</v>
      </c>
      <c r="I226">
        <v>206</v>
      </c>
      <c r="J226" t="s">
        <v>188</v>
      </c>
      <c r="K226" t="s">
        <v>189</v>
      </c>
      <c r="L226" t="s">
        <v>190</v>
      </c>
      <c r="M226" t="s">
        <v>34</v>
      </c>
      <c r="N226" t="s">
        <v>35</v>
      </c>
      <c r="O226" t="s">
        <v>36</v>
      </c>
      <c r="P226">
        <v>22</v>
      </c>
      <c r="Q226">
        <v>45480</v>
      </c>
      <c r="R226">
        <v>500</v>
      </c>
      <c r="S226">
        <v>1500</v>
      </c>
      <c r="T226">
        <v>550</v>
      </c>
      <c r="U226">
        <v>56850</v>
      </c>
      <c r="V226">
        <v>48030</v>
      </c>
      <c r="W226">
        <v>0.18363522798251089</v>
      </c>
      <c r="X226">
        <v>8820</v>
      </c>
      <c r="Y226" t="s">
        <v>79</v>
      </c>
      <c r="Z226" s="2">
        <v>43099</v>
      </c>
      <c r="AA226">
        <v>4</v>
      </c>
      <c r="AB226" t="s">
        <v>69</v>
      </c>
      <c r="AC226" t="s">
        <v>70</v>
      </c>
      <c r="AD226" t="s">
        <v>71</v>
      </c>
      <c r="AE226" t="str">
        <f t="shared" si="3"/>
        <v>Tuesday</v>
      </c>
      <c r="AF226" s="12">
        <f>Table1[[#This Row],[Total Cost]]+Table1[[#This Row],[PROFIT]]</f>
        <v>56850</v>
      </c>
    </row>
    <row r="227" spans="1:32" x14ac:dyDescent="0.3">
      <c r="A227">
        <v>226</v>
      </c>
      <c r="B227">
        <v>207</v>
      </c>
      <c r="C227">
        <v>1</v>
      </c>
      <c r="D227" t="s">
        <v>499</v>
      </c>
      <c r="E227">
        <v>62500</v>
      </c>
      <c r="F227">
        <v>1250</v>
      </c>
      <c r="G227">
        <v>21</v>
      </c>
      <c r="H227" s="2">
        <v>43102</v>
      </c>
      <c r="I227">
        <v>207</v>
      </c>
      <c r="J227" t="s">
        <v>166</v>
      </c>
      <c r="K227" t="s">
        <v>167</v>
      </c>
      <c r="L227" t="s">
        <v>142</v>
      </c>
      <c r="M227" t="s">
        <v>34</v>
      </c>
      <c r="N227" t="s">
        <v>35</v>
      </c>
      <c r="O227" t="s">
        <v>36</v>
      </c>
      <c r="P227">
        <v>21</v>
      </c>
      <c r="Q227">
        <v>50000</v>
      </c>
      <c r="R227">
        <v>500</v>
      </c>
      <c r="S227">
        <v>750</v>
      </c>
      <c r="T227">
        <v>550</v>
      </c>
      <c r="U227">
        <v>62500</v>
      </c>
      <c r="V227">
        <v>51800</v>
      </c>
      <c r="W227">
        <v>0.20656370656370651</v>
      </c>
      <c r="X227">
        <v>10700</v>
      </c>
      <c r="Y227" t="s">
        <v>49</v>
      </c>
      <c r="Z227" s="2">
        <v>43099</v>
      </c>
      <c r="AA227">
        <v>4</v>
      </c>
      <c r="AB227" t="s">
        <v>398</v>
      </c>
      <c r="AC227" t="s">
        <v>70</v>
      </c>
      <c r="AD227" t="s">
        <v>71</v>
      </c>
      <c r="AE227" t="str">
        <f t="shared" si="3"/>
        <v>Tuesday</v>
      </c>
      <c r="AF227" s="12">
        <f>Table1[[#This Row],[Total Cost]]+Table1[[#This Row],[PROFIT]]</f>
        <v>62500</v>
      </c>
    </row>
    <row r="228" spans="1:32" x14ac:dyDescent="0.3">
      <c r="A228">
        <v>227</v>
      </c>
      <c r="B228">
        <v>208</v>
      </c>
      <c r="C228">
        <v>1</v>
      </c>
      <c r="D228" t="s">
        <v>500</v>
      </c>
      <c r="E228">
        <v>42500</v>
      </c>
      <c r="F228">
        <v>2266.5966386554619</v>
      </c>
      <c r="G228">
        <v>26</v>
      </c>
      <c r="H228" s="2">
        <v>43102</v>
      </c>
      <c r="I228">
        <v>208</v>
      </c>
      <c r="J228" t="s">
        <v>205</v>
      </c>
      <c r="K228" t="s">
        <v>206</v>
      </c>
      <c r="L228" t="s">
        <v>207</v>
      </c>
      <c r="M228" t="s">
        <v>34</v>
      </c>
      <c r="N228" t="s">
        <v>35</v>
      </c>
      <c r="O228" t="s">
        <v>36</v>
      </c>
      <c r="P228">
        <v>22</v>
      </c>
      <c r="Q228">
        <v>34000</v>
      </c>
      <c r="R228">
        <v>2000</v>
      </c>
      <c r="S228">
        <v>150</v>
      </c>
      <c r="T228">
        <v>550</v>
      </c>
      <c r="U228">
        <v>42500</v>
      </c>
      <c r="V228">
        <v>36700</v>
      </c>
      <c r="W228">
        <v>0.1580381471389645</v>
      </c>
      <c r="X228">
        <v>5800</v>
      </c>
      <c r="Y228" t="s">
        <v>73</v>
      </c>
      <c r="Z228" s="2">
        <v>43100</v>
      </c>
      <c r="AA228">
        <v>4</v>
      </c>
      <c r="AB228" t="s">
        <v>69</v>
      </c>
      <c r="AC228" t="s">
        <v>70</v>
      </c>
      <c r="AD228" t="s">
        <v>71</v>
      </c>
      <c r="AE228" t="str">
        <f t="shared" si="3"/>
        <v>Tuesday</v>
      </c>
      <c r="AF228" s="12">
        <f>Table1[[#This Row],[Total Cost]]+Table1[[#This Row],[PROFIT]]</f>
        <v>42500</v>
      </c>
    </row>
    <row r="229" spans="1:32" x14ac:dyDescent="0.3">
      <c r="A229">
        <v>228</v>
      </c>
      <c r="B229">
        <v>209</v>
      </c>
      <c r="C229">
        <v>1</v>
      </c>
      <c r="D229" t="s">
        <v>501</v>
      </c>
      <c r="E229">
        <v>65450</v>
      </c>
      <c r="F229">
        <v>1250</v>
      </c>
      <c r="G229">
        <v>51</v>
      </c>
      <c r="H229" s="2">
        <v>43102</v>
      </c>
      <c r="I229">
        <v>209</v>
      </c>
      <c r="J229" t="s">
        <v>273</v>
      </c>
      <c r="K229" t="s">
        <v>502</v>
      </c>
      <c r="L229" t="s">
        <v>164</v>
      </c>
      <c r="M229" t="s">
        <v>89</v>
      </c>
      <c r="N229" t="s">
        <v>90</v>
      </c>
      <c r="O229" t="s">
        <v>91</v>
      </c>
      <c r="P229">
        <v>25</v>
      </c>
      <c r="Q229">
        <v>52360</v>
      </c>
      <c r="R229">
        <v>500</v>
      </c>
      <c r="S229">
        <v>1500</v>
      </c>
      <c r="T229">
        <v>750</v>
      </c>
      <c r="U229">
        <v>65450</v>
      </c>
      <c r="V229">
        <v>55110</v>
      </c>
      <c r="W229">
        <v>0.1876247504990021</v>
      </c>
      <c r="X229">
        <v>10340</v>
      </c>
      <c r="Y229" t="s">
        <v>73</v>
      </c>
      <c r="Z229" s="2">
        <v>43100</v>
      </c>
      <c r="AA229">
        <v>4</v>
      </c>
      <c r="AB229" t="s">
        <v>245</v>
      </c>
      <c r="AC229" t="s">
        <v>70</v>
      </c>
      <c r="AD229" t="s">
        <v>71</v>
      </c>
      <c r="AE229" t="str">
        <f t="shared" si="3"/>
        <v>Tuesday</v>
      </c>
      <c r="AF229" s="12">
        <f>Table1[[#This Row],[Total Cost]]+Table1[[#This Row],[PROFIT]]</f>
        <v>65450</v>
      </c>
    </row>
    <row r="230" spans="1:32" x14ac:dyDescent="0.3">
      <c r="A230">
        <v>229</v>
      </c>
      <c r="B230">
        <v>210</v>
      </c>
      <c r="C230">
        <v>1</v>
      </c>
      <c r="D230" t="s">
        <v>503</v>
      </c>
      <c r="E230">
        <v>56950</v>
      </c>
      <c r="F230">
        <v>2266.5966386554619</v>
      </c>
      <c r="G230">
        <v>52</v>
      </c>
      <c r="H230" s="2">
        <v>43102</v>
      </c>
      <c r="I230">
        <v>210</v>
      </c>
      <c r="J230" t="s">
        <v>504</v>
      </c>
      <c r="K230" t="s">
        <v>505</v>
      </c>
      <c r="L230" t="s">
        <v>142</v>
      </c>
      <c r="M230" t="s">
        <v>34</v>
      </c>
      <c r="N230" t="s">
        <v>35</v>
      </c>
      <c r="O230" t="s">
        <v>36</v>
      </c>
      <c r="P230">
        <v>22</v>
      </c>
      <c r="Q230">
        <v>45560</v>
      </c>
      <c r="R230">
        <v>500</v>
      </c>
      <c r="S230">
        <v>1500</v>
      </c>
      <c r="T230">
        <v>550</v>
      </c>
      <c r="U230">
        <v>56950</v>
      </c>
      <c r="V230">
        <v>48110</v>
      </c>
      <c r="W230">
        <v>0.1837455830388692</v>
      </c>
      <c r="X230">
        <v>8840</v>
      </c>
      <c r="Y230" t="s">
        <v>168</v>
      </c>
      <c r="Z230" s="2">
        <v>43099</v>
      </c>
      <c r="AA230">
        <v>4</v>
      </c>
      <c r="AB230" t="s">
        <v>69</v>
      </c>
      <c r="AC230" t="s">
        <v>70</v>
      </c>
      <c r="AD230" t="s">
        <v>71</v>
      </c>
      <c r="AE230" t="str">
        <f t="shared" si="3"/>
        <v>Tuesday</v>
      </c>
      <c r="AF230" s="12">
        <f>Table1[[#This Row],[Total Cost]]+Table1[[#This Row],[PROFIT]]</f>
        <v>56950</v>
      </c>
    </row>
    <row r="231" spans="1:32" x14ac:dyDescent="0.3">
      <c r="A231">
        <v>230</v>
      </c>
      <c r="B231">
        <v>211</v>
      </c>
      <c r="C231">
        <v>1</v>
      </c>
      <c r="D231" t="s">
        <v>506</v>
      </c>
      <c r="E231">
        <v>1950</v>
      </c>
      <c r="F231">
        <v>2266.5966386554619</v>
      </c>
      <c r="G231">
        <v>53</v>
      </c>
      <c r="H231" s="2">
        <v>43105</v>
      </c>
      <c r="I231">
        <v>211</v>
      </c>
      <c r="J231" t="s">
        <v>507</v>
      </c>
      <c r="K231" t="s">
        <v>508</v>
      </c>
      <c r="L231" t="s">
        <v>110</v>
      </c>
      <c r="M231" t="s">
        <v>64</v>
      </c>
      <c r="N231" t="s">
        <v>65</v>
      </c>
      <c r="O231" t="s">
        <v>36</v>
      </c>
      <c r="P231">
        <v>99</v>
      </c>
      <c r="Q231">
        <v>1560</v>
      </c>
      <c r="R231">
        <v>500</v>
      </c>
      <c r="S231">
        <v>750</v>
      </c>
      <c r="T231">
        <v>150</v>
      </c>
      <c r="U231">
        <v>1950</v>
      </c>
      <c r="V231">
        <v>2960</v>
      </c>
      <c r="W231">
        <v>-0.34121621621621617</v>
      </c>
      <c r="X231">
        <v>-1010</v>
      </c>
      <c r="Y231" t="s">
        <v>49</v>
      </c>
      <c r="Z231" s="2">
        <v>43101</v>
      </c>
      <c r="AA231">
        <v>23</v>
      </c>
      <c r="AB231" t="s">
        <v>335</v>
      </c>
      <c r="AC231" t="s">
        <v>336</v>
      </c>
      <c r="AD231" t="s">
        <v>52</v>
      </c>
      <c r="AE231" t="str">
        <f t="shared" si="3"/>
        <v>Friday</v>
      </c>
      <c r="AF231" s="12">
        <f>Table1[[#This Row],[Total Cost]]+Table1[[#This Row],[PROFIT]]</f>
        <v>1950</v>
      </c>
    </row>
    <row r="232" spans="1:32" x14ac:dyDescent="0.3">
      <c r="A232">
        <v>231</v>
      </c>
      <c r="B232">
        <v>212</v>
      </c>
      <c r="C232">
        <v>1</v>
      </c>
      <c r="D232" t="s">
        <v>509</v>
      </c>
      <c r="E232">
        <v>1150</v>
      </c>
      <c r="F232">
        <v>2266.5966386554619</v>
      </c>
      <c r="G232">
        <v>54</v>
      </c>
      <c r="H232" s="2">
        <v>43105</v>
      </c>
      <c r="I232">
        <v>212</v>
      </c>
      <c r="J232" t="s">
        <v>510</v>
      </c>
      <c r="K232" t="s">
        <v>511</v>
      </c>
      <c r="L232" t="s">
        <v>142</v>
      </c>
      <c r="M232" t="s">
        <v>34</v>
      </c>
      <c r="N232" t="s">
        <v>35</v>
      </c>
      <c r="O232" t="s">
        <v>36</v>
      </c>
      <c r="P232">
        <v>56</v>
      </c>
      <c r="Q232">
        <v>920</v>
      </c>
      <c r="R232">
        <v>500</v>
      </c>
      <c r="S232">
        <v>750</v>
      </c>
      <c r="T232">
        <v>150</v>
      </c>
      <c r="U232">
        <v>1150</v>
      </c>
      <c r="V232">
        <v>2320</v>
      </c>
      <c r="W232">
        <v>-0.50431034482758619</v>
      </c>
      <c r="X232">
        <v>-1170</v>
      </c>
      <c r="Y232" t="s">
        <v>73</v>
      </c>
      <c r="Z232" s="2">
        <v>43101</v>
      </c>
      <c r="AA232">
        <v>10</v>
      </c>
      <c r="AB232" t="s">
        <v>354</v>
      </c>
      <c r="AC232" t="s">
        <v>351</v>
      </c>
      <c r="AD232" t="s">
        <v>71</v>
      </c>
      <c r="AE232" t="str">
        <f t="shared" si="3"/>
        <v>Friday</v>
      </c>
      <c r="AF232" s="12">
        <f>Table1[[#This Row],[Total Cost]]+Table1[[#This Row],[PROFIT]]</f>
        <v>1150</v>
      </c>
    </row>
    <row r="233" spans="1:32" x14ac:dyDescent="0.3">
      <c r="A233">
        <v>232</v>
      </c>
      <c r="B233">
        <v>213</v>
      </c>
      <c r="C233">
        <v>1</v>
      </c>
      <c r="D233" t="s">
        <v>512</v>
      </c>
      <c r="E233">
        <v>11550</v>
      </c>
      <c r="F233">
        <v>2266.5966386554619</v>
      </c>
      <c r="G233">
        <v>55</v>
      </c>
      <c r="H233" s="2">
        <v>43105</v>
      </c>
      <c r="I233">
        <v>213</v>
      </c>
      <c r="J233" t="s">
        <v>513</v>
      </c>
      <c r="K233" t="s">
        <v>514</v>
      </c>
      <c r="L233" t="s">
        <v>56</v>
      </c>
      <c r="M233" t="s">
        <v>57</v>
      </c>
      <c r="N233" t="s">
        <v>58</v>
      </c>
      <c r="O233" t="s">
        <v>36</v>
      </c>
      <c r="P233">
        <v>54</v>
      </c>
      <c r="Q233">
        <v>9240</v>
      </c>
      <c r="R233">
        <v>500</v>
      </c>
      <c r="S233">
        <v>750</v>
      </c>
      <c r="T233">
        <v>150</v>
      </c>
      <c r="U233">
        <v>11550</v>
      </c>
      <c r="V233">
        <v>10640</v>
      </c>
      <c r="W233">
        <v>8.5526315789473673E-2</v>
      </c>
      <c r="X233">
        <v>910</v>
      </c>
      <c r="Y233" t="s">
        <v>68</v>
      </c>
      <c r="Z233" s="2">
        <v>43101</v>
      </c>
      <c r="AA233">
        <v>9</v>
      </c>
      <c r="AB233" t="s">
        <v>348</v>
      </c>
      <c r="AC233" t="s">
        <v>117</v>
      </c>
      <c r="AD233" t="s">
        <v>40</v>
      </c>
      <c r="AE233" t="str">
        <f t="shared" si="3"/>
        <v>Friday</v>
      </c>
      <c r="AF233" s="12">
        <f>Table1[[#This Row],[Total Cost]]+Table1[[#This Row],[PROFIT]]</f>
        <v>11550</v>
      </c>
    </row>
    <row r="234" spans="1:32" x14ac:dyDescent="0.3">
      <c r="A234">
        <v>233</v>
      </c>
      <c r="B234">
        <v>214</v>
      </c>
      <c r="C234">
        <v>1</v>
      </c>
      <c r="D234" t="s">
        <v>515</v>
      </c>
      <c r="E234">
        <v>12570</v>
      </c>
      <c r="F234">
        <v>500</v>
      </c>
      <c r="G234">
        <v>45</v>
      </c>
      <c r="H234" s="2">
        <v>43105</v>
      </c>
      <c r="I234">
        <v>214</v>
      </c>
      <c r="J234" t="s">
        <v>417</v>
      </c>
      <c r="K234" t="s">
        <v>418</v>
      </c>
      <c r="L234" t="s">
        <v>95</v>
      </c>
      <c r="M234" t="s">
        <v>34</v>
      </c>
      <c r="N234" t="s">
        <v>35</v>
      </c>
      <c r="O234" t="s">
        <v>36</v>
      </c>
      <c r="P234">
        <v>87</v>
      </c>
      <c r="Q234">
        <v>10056</v>
      </c>
      <c r="R234">
        <v>2000</v>
      </c>
      <c r="S234">
        <v>500</v>
      </c>
      <c r="T234">
        <v>150</v>
      </c>
      <c r="U234">
        <v>12570</v>
      </c>
      <c r="V234">
        <v>12706</v>
      </c>
      <c r="W234">
        <v>-1.070360459625375E-2</v>
      </c>
      <c r="X234">
        <v>-136</v>
      </c>
      <c r="Y234" t="s">
        <v>73</v>
      </c>
      <c r="Z234" s="2">
        <v>43101</v>
      </c>
      <c r="AA234">
        <v>21</v>
      </c>
      <c r="AB234" t="s">
        <v>138</v>
      </c>
      <c r="AC234" t="s">
        <v>134</v>
      </c>
      <c r="AD234" t="s">
        <v>71</v>
      </c>
      <c r="AE234" t="str">
        <f t="shared" si="3"/>
        <v>Friday</v>
      </c>
      <c r="AF234" s="12">
        <f>Table1[[#This Row],[Total Cost]]+Table1[[#This Row],[PROFIT]]</f>
        <v>12570</v>
      </c>
    </row>
    <row r="235" spans="1:32" x14ac:dyDescent="0.3">
      <c r="A235">
        <v>234</v>
      </c>
      <c r="B235">
        <v>215</v>
      </c>
      <c r="C235">
        <v>1</v>
      </c>
      <c r="D235" t="s">
        <v>516</v>
      </c>
      <c r="E235">
        <v>9890</v>
      </c>
      <c r="F235">
        <v>2266.5966386554619</v>
      </c>
      <c r="G235">
        <v>46</v>
      </c>
      <c r="H235" s="2">
        <v>43105</v>
      </c>
      <c r="I235">
        <v>215</v>
      </c>
      <c r="J235" t="s">
        <v>423</v>
      </c>
      <c r="K235" t="s">
        <v>424</v>
      </c>
      <c r="L235" t="s">
        <v>110</v>
      </c>
      <c r="M235" t="s">
        <v>64</v>
      </c>
      <c r="N235" t="s">
        <v>65</v>
      </c>
      <c r="O235" t="s">
        <v>36</v>
      </c>
      <c r="P235">
        <v>89</v>
      </c>
      <c r="Q235">
        <v>7912</v>
      </c>
      <c r="R235">
        <v>500</v>
      </c>
      <c r="S235">
        <v>225</v>
      </c>
      <c r="T235">
        <v>150</v>
      </c>
      <c r="U235">
        <v>9890</v>
      </c>
      <c r="V235">
        <v>8787</v>
      </c>
      <c r="W235">
        <v>0.12552634573802199</v>
      </c>
      <c r="X235">
        <v>1103</v>
      </c>
      <c r="Y235" t="s">
        <v>73</v>
      </c>
      <c r="Z235" s="2">
        <v>43101</v>
      </c>
      <c r="AA235">
        <v>21</v>
      </c>
      <c r="AB235" t="s">
        <v>280</v>
      </c>
      <c r="AC235" t="s">
        <v>134</v>
      </c>
      <c r="AD235" t="s">
        <v>71</v>
      </c>
      <c r="AE235" t="str">
        <f t="shared" si="3"/>
        <v>Friday</v>
      </c>
      <c r="AF235" s="12">
        <f>Table1[[#This Row],[Total Cost]]+Table1[[#This Row],[PROFIT]]</f>
        <v>9890</v>
      </c>
    </row>
    <row r="236" spans="1:32" x14ac:dyDescent="0.3">
      <c r="A236">
        <v>235</v>
      </c>
      <c r="B236">
        <v>216</v>
      </c>
      <c r="C236">
        <v>1</v>
      </c>
      <c r="D236" t="s">
        <v>517</v>
      </c>
      <c r="E236">
        <v>56950</v>
      </c>
      <c r="F236">
        <v>2266.5966386554619</v>
      </c>
      <c r="G236">
        <v>12</v>
      </c>
      <c r="H236" s="2">
        <v>43110</v>
      </c>
      <c r="I236">
        <v>216</v>
      </c>
      <c r="J236" t="s">
        <v>105</v>
      </c>
      <c r="K236" t="s">
        <v>106</v>
      </c>
      <c r="L236" t="s">
        <v>95</v>
      </c>
      <c r="M236" t="s">
        <v>34</v>
      </c>
      <c r="N236" t="s">
        <v>35</v>
      </c>
      <c r="O236" t="s">
        <v>36</v>
      </c>
      <c r="P236">
        <v>32</v>
      </c>
      <c r="Q236">
        <v>45560</v>
      </c>
      <c r="R236">
        <v>2000</v>
      </c>
      <c r="S236">
        <v>500</v>
      </c>
      <c r="T236">
        <v>550</v>
      </c>
      <c r="U236">
        <v>56950</v>
      </c>
      <c r="V236">
        <v>48610</v>
      </c>
      <c r="W236">
        <v>0.17156963587739149</v>
      </c>
      <c r="X236">
        <v>8340</v>
      </c>
      <c r="Y236" t="s">
        <v>68</v>
      </c>
      <c r="Z236" s="2">
        <v>43101</v>
      </c>
      <c r="AA236">
        <v>5</v>
      </c>
      <c r="AB236" t="s">
        <v>97</v>
      </c>
      <c r="AC236" t="s">
        <v>98</v>
      </c>
      <c r="AD236" t="s">
        <v>71</v>
      </c>
      <c r="AE236" t="str">
        <f t="shared" si="3"/>
        <v>Wednesday</v>
      </c>
      <c r="AF236" s="12">
        <f>Table1[[#This Row],[Total Cost]]+Table1[[#This Row],[PROFIT]]</f>
        <v>56950</v>
      </c>
    </row>
    <row r="237" spans="1:32" x14ac:dyDescent="0.3">
      <c r="A237">
        <v>236</v>
      </c>
      <c r="B237">
        <v>217</v>
      </c>
      <c r="C237">
        <v>1</v>
      </c>
      <c r="D237" t="s">
        <v>518</v>
      </c>
      <c r="E237">
        <v>45950</v>
      </c>
      <c r="F237">
        <v>2266.5966386554619</v>
      </c>
      <c r="G237">
        <v>32</v>
      </c>
      <c r="H237" s="2">
        <v>43110</v>
      </c>
      <c r="I237">
        <v>217</v>
      </c>
      <c r="J237" t="s">
        <v>231</v>
      </c>
      <c r="K237" t="s">
        <v>232</v>
      </c>
      <c r="L237" t="s">
        <v>233</v>
      </c>
      <c r="M237" t="s">
        <v>234</v>
      </c>
      <c r="N237" t="s">
        <v>235</v>
      </c>
      <c r="O237" t="s">
        <v>36</v>
      </c>
      <c r="P237">
        <v>85</v>
      </c>
      <c r="Q237">
        <v>36760</v>
      </c>
      <c r="R237">
        <v>660</v>
      </c>
      <c r="S237">
        <v>1500</v>
      </c>
      <c r="T237">
        <v>550</v>
      </c>
      <c r="U237">
        <v>45950</v>
      </c>
      <c r="V237">
        <v>39470</v>
      </c>
      <c r="W237">
        <v>0.16417532303014951</v>
      </c>
      <c r="X237">
        <v>6480</v>
      </c>
      <c r="Y237" t="s">
        <v>244</v>
      </c>
      <c r="Z237" s="2">
        <v>43101</v>
      </c>
      <c r="AA237">
        <v>20</v>
      </c>
      <c r="AB237" t="s">
        <v>433</v>
      </c>
      <c r="AC237" t="s">
        <v>434</v>
      </c>
      <c r="AD237" t="s">
        <v>71</v>
      </c>
      <c r="AE237" t="str">
        <f t="shared" si="3"/>
        <v>Wednesday</v>
      </c>
      <c r="AF237" s="12">
        <f>Table1[[#This Row],[Total Cost]]+Table1[[#This Row],[PROFIT]]</f>
        <v>45950</v>
      </c>
    </row>
    <row r="238" spans="1:32" x14ac:dyDescent="0.3">
      <c r="A238">
        <v>237</v>
      </c>
      <c r="B238">
        <v>218</v>
      </c>
      <c r="C238">
        <v>1</v>
      </c>
      <c r="D238" t="s">
        <v>519</v>
      </c>
      <c r="E238">
        <v>950</v>
      </c>
      <c r="F238">
        <v>25</v>
      </c>
      <c r="G238">
        <v>49</v>
      </c>
      <c r="H238" s="2">
        <v>43110</v>
      </c>
      <c r="I238">
        <v>218</v>
      </c>
      <c r="J238" t="s">
        <v>448</v>
      </c>
      <c r="K238" t="s">
        <v>449</v>
      </c>
      <c r="L238" t="s">
        <v>265</v>
      </c>
      <c r="M238" t="s">
        <v>266</v>
      </c>
      <c r="N238" t="s">
        <v>267</v>
      </c>
      <c r="O238" t="s">
        <v>36</v>
      </c>
      <c r="P238">
        <v>96</v>
      </c>
      <c r="Q238">
        <v>760</v>
      </c>
      <c r="R238">
        <v>500</v>
      </c>
      <c r="S238">
        <v>750</v>
      </c>
      <c r="T238">
        <v>150</v>
      </c>
      <c r="U238">
        <v>950</v>
      </c>
      <c r="V238">
        <v>2160</v>
      </c>
      <c r="W238">
        <v>-0.56018518518518512</v>
      </c>
      <c r="X238">
        <v>-1210</v>
      </c>
      <c r="Y238" t="s">
        <v>49</v>
      </c>
      <c r="Z238" s="2">
        <v>43101</v>
      </c>
      <c r="AA238">
        <v>23</v>
      </c>
      <c r="AB238" t="s">
        <v>450</v>
      </c>
      <c r="AC238" t="s">
        <v>336</v>
      </c>
      <c r="AD238" t="s">
        <v>52</v>
      </c>
      <c r="AE238" t="str">
        <f t="shared" si="3"/>
        <v>Wednesday</v>
      </c>
      <c r="AF238" s="12">
        <f>Table1[[#This Row],[Total Cost]]+Table1[[#This Row],[PROFIT]]</f>
        <v>950</v>
      </c>
    </row>
    <row r="239" spans="1:32" x14ac:dyDescent="0.3">
      <c r="A239">
        <v>238</v>
      </c>
      <c r="B239">
        <v>219</v>
      </c>
      <c r="C239">
        <v>1</v>
      </c>
      <c r="D239" t="s">
        <v>520</v>
      </c>
      <c r="E239">
        <v>21550</v>
      </c>
      <c r="F239">
        <v>1250</v>
      </c>
      <c r="G239">
        <v>35</v>
      </c>
      <c r="H239" s="2">
        <v>43110</v>
      </c>
      <c r="I239">
        <v>219</v>
      </c>
      <c r="J239" t="s">
        <v>270</v>
      </c>
      <c r="K239" t="s">
        <v>271</v>
      </c>
      <c r="L239" t="s">
        <v>84</v>
      </c>
      <c r="M239" t="s">
        <v>64</v>
      </c>
      <c r="N239" t="s">
        <v>65</v>
      </c>
      <c r="O239" t="s">
        <v>36</v>
      </c>
      <c r="P239">
        <v>74</v>
      </c>
      <c r="Q239">
        <v>17240</v>
      </c>
      <c r="R239">
        <v>970</v>
      </c>
      <c r="S239">
        <v>750</v>
      </c>
      <c r="T239">
        <v>150</v>
      </c>
      <c r="U239">
        <v>21550</v>
      </c>
      <c r="V239">
        <v>19110</v>
      </c>
      <c r="W239">
        <v>0.1276818419675563</v>
      </c>
      <c r="X239">
        <v>2440</v>
      </c>
      <c r="Y239" t="s">
        <v>73</v>
      </c>
      <c r="Z239" s="2">
        <v>43101</v>
      </c>
      <c r="AA239">
        <v>16</v>
      </c>
      <c r="AB239" t="s">
        <v>144</v>
      </c>
      <c r="AC239" t="s">
        <v>122</v>
      </c>
      <c r="AD239" t="s">
        <v>71</v>
      </c>
      <c r="AE239" t="str">
        <f t="shared" si="3"/>
        <v>Wednesday</v>
      </c>
      <c r="AF239" s="12">
        <f>Table1[[#This Row],[Total Cost]]+Table1[[#This Row],[PROFIT]]</f>
        <v>21550</v>
      </c>
    </row>
    <row r="240" spans="1:32" x14ac:dyDescent="0.3">
      <c r="A240">
        <v>239</v>
      </c>
      <c r="B240">
        <v>220</v>
      </c>
      <c r="C240">
        <v>1</v>
      </c>
      <c r="D240" t="s">
        <v>521</v>
      </c>
      <c r="E240">
        <v>5950</v>
      </c>
      <c r="F240">
        <v>2266.5966386554619</v>
      </c>
      <c r="G240">
        <v>21</v>
      </c>
      <c r="H240" s="2">
        <v>43115</v>
      </c>
      <c r="I240">
        <v>220</v>
      </c>
      <c r="J240" t="s">
        <v>166</v>
      </c>
      <c r="K240" t="s">
        <v>167</v>
      </c>
      <c r="L240" t="s">
        <v>142</v>
      </c>
      <c r="M240" t="s">
        <v>34</v>
      </c>
      <c r="N240" t="s">
        <v>35</v>
      </c>
      <c r="O240" t="s">
        <v>36</v>
      </c>
      <c r="P240">
        <v>52</v>
      </c>
      <c r="Q240">
        <v>4760</v>
      </c>
      <c r="R240">
        <v>500</v>
      </c>
      <c r="S240">
        <v>225</v>
      </c>
      <c r="T240">
        <v>150</v>
      </c>
      <c r="U240">
        <v>5950</v>
      </c>
      <c r="V240">
        <v>5635</v>
      </c>
      <c r="W240">
        <v>5.5900621118012417E-2</v>
      </c>
      <c r="X240">
        <v>315</v>
      </c>
      <c r="Y240" t="s">
        <v>73</v>
      </c>
      <c r="Z240" s="2">
        <v>43101</v>
      </c>
      <c r="AA240">
        <v>9</v>
      </c>
      <c r="AB240" t="s">
        <v>198</v>
      </c>
      <c r="AC240" t="s">
        <v>117</v>
      </c>
      <c r="AD240" t="s">
        <v>40</v>
      </c>
      <c r="AE240" t="str">
        <f t="shared" si="3"/>
        <v>Monday</v>
      </c>
      <c r="AF240" s="12">
        <f>Table1[[#This Row],[Total Cost]]+Table1[[#This Row],[PROFIT]]</f>
        <v>5950</v>
      </c>
    </row>
    <row r="241" spans="1:32" x14ac:dyDescent="0.3">
      <c r="A241">
        <v>240</v>
      </c>
      <c r="B241">
        <v>221</v>
      </c>
      <c r="C241">
        <v>1</v>
      </c>
      <c r="D241" t="s">
        <v>522</v>
      </c>
      <c r="E241">
        <v>365000</v>
      </c>
      <c r="F241">
        <v>2266.5966386554619</v>
      </c>
      <c r="G241">
        <v>13</v>
      </c>
      <c r="H241" s="2">
        <v>43115</v>
      </c>
      <c r="I241">
        <v>221</v>
      </c>
      <c r="J241" t="s">
        <v>108</v>
      </c>
      <c r="K241" t="s">
        <v>109</v>
      </c>
      <c r="L241" t="s">
        <v>110</v>
      </c>
      <c r="M241" t="s">
        <v>64</v>
      </c>
      <c r="N241" t="s">
        <v>65</v>
      </c>
      <c r="O241" t="s">
        <v>36</v>
      </c>
      <c r="P241">
        <v>63</v>
      </c>
      <c r="Q241">
        <v>284000</v>
      </c>
      <c r="R241">
        <v>9250</v>
      </c>
      <c r="S241">
        <v>7500</v>
      </c>
      <c r="T241">
        <v>1950</v>
      </c>
      <c r="U241">
        <v>355000</v>
      </c>
      <c r="V241">
        <v>302700</v>
      </c>
      <c r="W241">
        <v>0.17277832837793211</v>
      </c>
      <c r="X241">
        <v>52300</v>
      </c>
      <c r="Y241" t="s">
        <v>37</v>
      </c>
      <c r="Z241" s="2">
        <v>43101</v>
      </c>
      <c r="AA241">
        <v>12</v>
      </c>
      <c r="AB241" t="s">
        <v>381</v>
      </c>
      <c r="AC241" t="s">
        <v>382</v>
      </c>
      <c r="AD241" t="s">
        <v>374</v>
      </c>
      <c r="AE241" t="str">
        <f t="shared" si="3"/>
        <v>Monday</v>
      </c>
      <c r="AF241" s="12">
        <f>Table1[[#This Row],[Total Cost]]+Table1[[#This Row],[PROFIT]]</f>
        <v>355000</v>
      </c>
    </row>
    <row r="242" spans="1:32" x14ac:dyDescent="0.3">
      <c r="A242">
        <v>241</v>
      </c>
      <c r="B242">
        <v>222</v>
      </c>
      <c r="C242">
        <v>1</v>
      </c>
      <c r="D242" t="s">
        <v>523</v>
      </c>
      <c r="E242">
        <v>120000</v>
      </c>
      <c r="F242">
        <v>2266.5966386554619</v>
      </c>
      <c r="G242">
        <v>8</v>
      </c>
      <c r="H242" s="2">
        <v>43141</v>
      </c>
      <c r="I242">
        <v>222</v>
      </c>
      <c r="J242" t="s">
        <v>82</v>
      </c>
      <c r="K242" t="s">
        <v>83</v>
      </c>
      <c r="L242" t="s">
        <v>84</v>
      </c>
      <c r="M242" t="s">
        <v>64</v>
      </c>
      <c r="N242" t="s">
        <v>65</v>
      </c>
      <c r="O242" t="s">
        <v>36</v>
      </c>
      <c r="P242">
        <v>41</v>
      </c>
      <c r="Q242">
        <v>96000</v>
      </c>
      <c r="R242">
        <v>2175</v>
      </c>
      <c r="S242">
        <v>750</v>
      </c>
      <c r="T242">
        <v>750</v>
      </c>
      <c r="U242">
        <v>120000</v>
      </c>
      <c r="V242">
        <v>99675</v>
      </c>
      <c r="W242">
        <v>0.20391271632806629</v>
      </c>
      <c r="X242">
        <v>20325</v>
      </c>
      <c r="Y242" t="s">
        <v>73</v>
      </c>
      <c r="Z242" s="2">
        <v>43132</v>
      </c>
      <c r="AA242">
        <v>6</v>
      </c>
      <c r="AB242" t="s">
        <v>379</v>
      </c>
      <c r="AC242" t="s">
        <v>303</v>
      </c>
      <c r="AD242" t="s">
        <v>71</v>
      </c>
      <c r="AE242" t="str">
        <f t="shared" si="3"/>
        <v>Saturday</v>
      </c>
      <c r="AF242" s="12">
        <f>Table1[[#This Row],[Total Cost]]+Table1[[#This Row],[PROFIT]]</f>
        <v>120000</v>
      </c>
    </row>
    <row r="243" spans="1:32" x14ac:dyDescent="0.3">
      <c r="A243">
        <v>242</v>
      </c>
      <c r="B243">
        <v>223</v>
      </c>
      <c r="C243">
        <v>1</v>
      </c>
      <c r="D243" t="s">
        <v>524</v>
      </c>
      <c r="E243">
        <v>17850</v>
      </c>
      <c r="F243">
        <v>750</v>
      </c>
      <c r="G243">
        <v>6</v>
      </c>
      <c r="H243" s="2">
        <v>43142</v>
      </c>
      <c r="I243">
        <v>223</v>
      </c>
      <c r="J243" t="s">
        <v>151</v>
      </c>
      <c r="K243" t="s">
        <v>152</v>
      </c>
      <c r="L243" t="s">
        <v>153</v>
      </c>
      <c r="M243" t="s">
        <v>154</v>
      </c>
      <c r="N243" t="s">
        <v>155</v>
      </c>
      <c r="O243" t="s">
        <v>36</v>
      </c>
      <c r="P243">
        <v>15</v>
      </c>
      <c r="Q243">
        <v>14280</v>
      </c>
      <c r="R243">
        <v>1360</v>
      </c>
      <c r="S243">
        <v>150</v>
      </c>
      <c r="T243">
        <v>150</v>
      </c>
      <c r="U243">
        <v>121500</v>
      </c>
      <c r="V243">
        <v>15940</v>
      </c>
      <c r="W243">
        <v>6.6223337515683811</v>
      </c>
      <c r="X243">
        <v>105560</v>
      </c>
      <c r="Y243" t="s">
        <v>49</v>
      </c>
      <c r="Z243" s="2">
        <v>43132</v>
      </c>
      <c r="AA243">
        <v>2</v>
      </c>
      <c r="AB243" t="s">
        <v>229</v>
      </c>
      <c r="AC243" t="s">
        <v>51</v>
      </c>
      <c r="AD243" t="s">
        <v>52</v>
      </c>
      <c r="AE243" t="str">
        <f t="shared" si="3"/>
        <v>Sunday</v>
      </c>
      <c r="AF243" s="12">
        <f>Table1[[#This Row],[Total Cost]]+Table1[[#This Row],[PROFIT]]</f>
        <v>121500</v>
      </c>
    </row>
    <row r="244" spans="1:32" x14ac:dyDescent="0.3">
      <c r="A244">
        <v>243</v>
      </c>
      <c r="B244">
        <v>223</v>
      </c>
      <c r="C244">
        <v>2</v>
      </c>
      <c r="D244" t="s">
        <v>525</v>
      </c>
      <c r="E244">
        <v>103650</v>
      </c>
      <c r="F244">
        <v>2266.5966386554619</v>
      </c>
      <c r="G244">
        <v>6</v>
      </c>
      <c r="H244" s="2">
        <v>43142</v>
      </c>
      <c r="I244">
        <v>223</v>
      </c>
      <c r="J244" t="s">
        <v>151</v>
      </c>
      <c r="K244" t="s">
        <v>152</v>
      </c>
      <c r="L244" t="s">
        <v>153</v>
      </c>
      <c r="M244" t="s">
        <v>154</v>
      </c>
      <c r="N244" t="s">
        <v>155</v>
      </c>
      <c r="O244" t="s">
        <v>36</v>
      </c>
      <c r="P244">
        <v>26</v>
      </c>
      <c r="Q244">
        <v>82920</v>
      </c>
      <c r="R244">
        <v>1490</v>
      </c>
      <c r="S244">
        <v>750</v>
      </c>
      <c r="T244">
        <v>750</v>
      </c>
      <c r="U244">
        <v>121500</v>
      </c>
      <c r="V244">
        <v>85910</v>
      </c>
      <c r="W244">
        <v>0.41427074845768819</v>
      </c>
      <c r="X244">
        <v>35590</v>
      </c>
      <c r="Y244" t="s">
        <v>168</v>
      </c>
      <c r="Z244" s="2">
        <v>43132</v>
      </c>
      <c r="AA244">
        <v>4</v>
      </c>
      <c r="AB244" t="s">
        <v>147</v>
      </c>
      <c r="AC244" t="s">
        <v>70</v>
      </c>
      <c r="AD244" t="s">
        <v>71</v>
      </c>
      <c r="AE244" t="str">
        <f t="shared" si="3"/>
        <v>Sunday</v>
      </c>
      <c r="AF244" s="12">
        <f>Table1[[#This Row],[Total Cost]]+Table1[[#This Row],[PROFIT]]</f>
        <v>121500</v>
      </c>
    </row>
    <row r="245" spans="1:32" x14ac:dyDescent="0.3">
      <c r="A245">
        <v>244</v>
      </c>
      <c r="B245">
        <v>224</v>
      </c>
      <c r="C245">
        <v>1</v>
      </c>
      <c r="D245" t="s">
        <v>526</v>
      </c>
      <c r="E245">
        <v>182500</v>
      </c>
      <c r="F245">
        <v>17500</v>
      </c>
      <c r="G245">
        <v>9</v>
      </c>
      <c r="H245" s="2">
        <v>43143</v>
      </c>
      <c r="I245">
        <v>224</v>
      </c>
      <c r="J245" t="s">
        <v>86</v>
      </c>
      <c r="K245" t="s">
        <v>87</v>
      </c>
      <c r="L245" t="s">
        <v>88</v>
      </c>
      <c r="M245" t="s">
        <v>89</v>
      </c>
      <c r="N245" t="s">
        <v>90</v>
      </c>
      <c r="O245" t="s">
        <v>91</v>
      </c>
      <c r="P245">
        <v>35</v>
      </c>
      <c r="Q245">
        <v>146000</v>
      </c>
      <c r="R245">
        <v>5500</v>
      </c>
      <c r="S245">
        <v>1500</v>
      </c>
      <c r="T245">
        <v>1950</v>
      </c>
      <c r="U245">
        <v>182500</v>
      </c>
      <c r="V245">
        <v>154950</v>
      </c>
      <c r="W245">
        <v>0.1777992900935785</v>
      </c>
      <c r="X245">
        <v>27550</v>
      </c>
      <c r="Y245" t="s">
        <v>103</v>
      </c>
      <c r="Z245" s="2">
        <v>43132</v>
      </c>
      <c r="AA245">
        <v>6</v>
      </c>
      <c r="AB245" t="s">
        <v>302</v>
      </c>
      <c r="AC245" t="s">
        <v>303</v>
      </c>
      <c r="AD245" t="s">
        <v>71</v>
      </c>
      <c r="AE245" t="str">
        <f t="shared" si="3"/>
        <v>Monday</v>
      </c>
      <c r="AF245" s="12">
        <f>Table1[[#This Row],[Total Cost]]+Table1[[#This Row],[PROFIT]]</f>
        <v>182500</v>
      </c>
    </row>
    <row r="246" spans="1:32" x14ac:dyDescent="0.3">
      <c r="A246">
        <v>245</v>
      </c>
      <c r="B246">
        <v>225</v>
      </c>
      <c r="C246">
        <v>1</v>
      </c>
      <c r="D246" t="s">
        <v>527</v>
      </c>
      <c r="E246">
        <v>22500</v>
      </c>
      <c r="F246">
        <v>2266.5966386554619</v>
      </c>
      <c r="G246">
        <v>56</v>
      </c>
      <c r="H246" s="2">
        <v>43144</v>
      </c>
      <c r="I246">
        <v>225</v>
      </c>
      <c r="J246" t="s">
        <v>528</v>
      </c>
      <c r="K246" t="s">
        <v>529</v>
      </c>
      <c r="L246" t="s">
        <v>33</v>
      </c>
      <c r="M246" t="s">
        <v>34</v>
      </c>
      <c r="N246" t="s">
        <v>35</v>
      </c>
      <c r="O246" t="s">
        <v>36</v>
      </c>
      <c r="P246">
        <v>57</v>
      </c>
      <c r="Q246">
        <v>18000</v>
      </c>
      <c r="R246">
        <v>1360</v>
      </c>
      <c r="S246">
        <v>750</v>
      </c>
      <c r="T246">
        <v>150</v>
      </c>
      <c r="U246">
        <v>22500</v>
      </c>
      <c r="V246">
        <v>20260</v>
      </c>
      <c r="W246">
        <v>0.11056268509378089</v>
      </c>
      <c r="X246">
        <v>2240</v>
      </c>
      <c r="Y246" t="s">
        <v>73</v>
      </c>
      <c r="Z246" s="2">
        <v>43132</v>
      </c>
      <c r="AA246">
        <v>10</v>
      </c>
      <c r="AB246" t="s">
        <v>530</v>
      </c>
      <c r="AC246" t="s">
        <v>351</v>
      </c>
      <c r="AD246" t="s">
        <v>71</v>
      </c>
      <c r="AE246" t="str">
        <f t="shared" si="3"/>
        <v>Tuesday</v>
      </c>
      <c r="AF246" s="12">
        <f>Table1[[#This Row],[Total Cost]]+Table1[[#This Row],[PROFIT]]</f>
        <v>22500</v>
      </c>
    </row>
    <row r="247" spans="1:32" x14ac:dyDescent="0.3">
      <c r="A247">
        <v>246</v>
      </c>
      <c r="B247">
        <v>226</v>
      </c>
      <c r="C247">
        <v>1</v>
      </c>
      <c r="D247" t="s">
        <v>531</v>
      </c>
      <c r="E247">
        <v>21500</v>
      </c>
      <c r="F247">
        <v>2266.5966386554619</v>
      </c>
      <c r="G247">
        <v>57</v>
      </c>
      <c r="H247" s="2">
        <v>43145</v>
      </c>
      <c r="I247">
        <v>226</v>
      </c>
      <c r="J247" t="s">
        <v>532</v>
      </c>
      <c r="K247" t="s">
        <v>533</v>
      </c>
      <c r="L247" t="s">
        <v>63</v>
      </c>
      <c r="M247" t="s">
        <v>64</v>
      </c>
      <c r="N247" t="s">
        <v>65</v>
      </c>
      <c r="O247" t="s">
        <v>36</v>
      </c>
      <c r="P247">
        <v>59</v>
      </c>
      <c r="Q247">
        <v>17200</v>
      </c>
      <c r="R247">
        <v>500</v>
      </c>
      <c r="S247">
        <v>750</v>
      </c>
      <c r="T247">
        <v>150</v>
      </c>
      <c r="U247">
        <v>21500</v>
      </c>
      <c r="V247">
        <v>18600</v>
      </c>
      <c r="W247">
        <v>0.15591397849462371</v>
      </c>
      <c r="X247">
        <v>2900</v>
      </c>
      <c r="Y247" t="s">
        <v>73</v>
      </c>
      <c r="Z247" s="2">
        <v>43132</v>
      </c>
      <c r="AA247">
        <v>11</v>
      </c>
      <c r="AB247" t="s">
        <v>534</v>
      </c>
      <c r="AC247" t="s">
        <v>426</v>
      </c>
      <c r="AD247" t="s">
        <v>52</v>
      </c>
      <c r="AE247" t="str">
        <f t="shared" si="3"/>
        <v>Wednesday</v>
      </c>
      <c r="AF247" s="12">
        <f>Table1[[#This Row],[Total Cost]]+Table1[[#This Row],[PROFIT]]</f>
        <v>21500</v>
      </c>
    </row>
    <row r="248" spans="1:32" x14ac:dyDescent="0.3">
      <c r="A248">
        <v>247</v>
      </c>
      <c r="B248">
        <v>227</v>
      </c>
      <c r="C248">
        <v>1</v>
      </c>
      <c r="D248" t="s">
        <v>535</v>
      </c>
      <c r="E248">
        <v>189500</v>
      </c>
      <c r="F248">
        <v>1500</v>
      </c>
      <c r="G248">
        <v>46</v>
      </c>
      <c r="H248" s="2">
        <v>43148</v>
      </c>
      <c r="I248">
        <v>227</v>
      </c>
      <c r="J248" t="s">
        <v>423</v>
      </c>
      <c r="K248" t="s">
        <v>424</v>
      </c>
      <c r="L248" t="s">
        <v>110</v>
      </c>
      <c r="M248" t="s">
        <v>64</v>
      </c>
      <c r="N248" t="s">
        <v>65</v>
      </c>
      <c r="O248" t="s">
        <v>36</v>
      </c>
      <c r="P248">
        <v>34</v>
      </c>
      <c r="Q248">
        <v>151600</v>
      </c>
      <c r="R248">
        <v>500</v>
      </c>
      <c r="S248">
        <v>1500</v>
      </c>
      <c r="T248">
        <v>1950</v>
      </c>
      <c r="U248">
        <v>189500</v>
      </c>
      <c r="V248">
        <v>155550</v>
      </c>
      <c r="W248">
        <v>0.21825779492124719</v>
      </c>
      <c r="X248">
        <v>33950</v>
      </c>
      <c r="Y248" t="s">
        <v>44</v>
      </c>
      <c r="Z248" s="2">
        <v>42646</v>
      </c>
      <c r="AA248">
        <v>5</v>
      </c>
      <c r="AB248" t="s">
        <v>327</v>
      </c>
      <c r="AC248" t="s">
        <v>98</v>
      </c>
      <c r="AD248" t="s">
        <v>71</v>
      </c>
      <c r="AE248" t="str">
        <f t="shared" si="3"/>
        <v>Saturday</v>
      </c>
      <c r="AF248" s="12">
        <f>Table1[[#This Row],[Total Cost]]+Table1[[#This Row],[PROFIT]]</f>
        <v>189500</v>
      </c>
    </row>
    <row r="249" spans="1:32" x14ac:dyDescent="0.3">
      <c r="A249">
        <v>248</v>
      </c>
      <c r="B249">
        <v>228</v>
      </c>
      <c r="C249">
        <v>1</v>
      </c>
      <c r="D249" t="s">
        <v>536</v>
      </c>
      <c r="E249">
        <v>55450</v>
      </c>
      <c r="F249">
        <v>1500</v>
      </c>
      <c r="G249">
        <v>58</v>
      </c>
      <c r="H249" s="2">
        <v>43148</v>
      </c>
      <c r="I249">
        <v>228</v>
      </c>
      <c r="J249" t="s">
        <v>537</v>
      </c>
      <c r="K249" t="s">
        <v>538</v>
      </c>
      <c r="L249" t="s">
        <v>153</v>
      </c>
      <c r="M249" t="s">
        <v>154</v>
      </c>
      <c r="N249" t="s">
        <v>155</v>
      </c>
      <c r="O249" t="s">
        <v>36</v>
      </c>
      <c r="P249">
        <v>32</v>
      </c>
      <c r="Q249">
        <v>44360</v>
      </c>
      <c r="R249">
        <v>490</v>
      </c>
      <c r="S249">
        <v>225</v>
      </c>
      <c r="T249">
        <v>550</v>
      </c>
      <c r="U249">
        <v>55450</v>
      </c>
      <c r="V249">
        <v>45625</v>
      </c>
      <c r="W249">
        <v>0.21534246575342461</v>
      </c>
      <c r="X249">
        <v>9825</v>
      </c>
      <c r="Y249" t="s">
        <v>37</v>
      </c>
      <c r="Z249" s="2">
        <v>42277</v>
      </c>
      <c r="AA249">
        <v>5</v>
      </c>
      <c r="AB249" t="s">
        <v>97</v>
      </c>
      <c r="AC249" t="s">
        <v>98</v>
      </c>
      <c r="AD249" t="s">
        <v>71</v>
      </c>
      <c r="AE249" t="str">
        <f t="shared" si="3"/>
        <v>Saturday</v>
      </c>
      <c r="AF249" s="12">
        <f>Table1[[#This Row],[Total Cost]]+Table1[[#This Row],[PROFIT]]</f>
        <v>55450</v>
      </c>
    </row>
    <row r="250" spans="1:32" x14ac:dyDescent="0.3">
      <c r="A250">
        <v>249</v>
      </c>
      <c r="B250">
        <v>229</v>
      </c>
      <c r="C250">
        <v>1</v>
      </c>
      <c r="D250" t="s">
        <v>539</v>
      </c>
      <c r="E250">
        <v>98950</v>
      </c>
      <c r="F250">
        <v>2266.5966386554619</v>
      </c>
      <c r="G250">
        <v>59</v>
      </c>
      <c r="H250" s="2">
        <v>43148</v>
      </c>
      <c r="I250">
        <v>229</v>
      </c>
      <c r="J250" t="s">
        <v>540</v>
      </c>
      <c r="K250" t="s">
        <v>541</v>
      </c>
      <c r="L250" t="s">
        <v>33</v>
      </c>
      <c r="M250" t="s">
        <v>34</v>
      </c>
      <c r="N250" t="s">
        <v>35</v>
      </c>
      <c r="O250" t="s">
        <v>36</v>
      </c>
      <c r="P250">
        <v>36</v>
      </c>
      <c r="Q250">
        <v>79160</v>
      </c>
      <c r="R250">
        <v>1490</v>
      </c>
      <c r="S250">
        <v>750</v>
      </c>
      <c r="T250">
        <v>750</v>
      </c>
      <c r="U250">
        <v>98950</v>
      </c>
      <c r="V250">
        <v>82150</v>
      </c>
      <c r="W250">
        <v>0.20450395617772379</v>
      </c>
      <c r="X250">
        <v>16800</v>
      </c>
      <c r="Y250" t="s">
        <v>44</v>
      </c>
      <c r="Z250" s="2">
        <v>43141</v>
      </c>
      <c r="AA250">
        <v>6</v>
      </c>
      <c r="AB250" t="s">
        <v>322</v>
      </c>
      <c r="AC250" t="s">
        <v>303</v>
      </c>
      <c r="AD250" t="s">
        <v>71</v>
      </c>
      <c r="AE250" t="str">
        <f t="shared" si="3"/>
        <v>Saturday</v>
      </c>
      <c r="AF250" s="12">
        <f>Table1[[#This Row],[Total Cost]]+Table1[[#This Row],[PROFIT]]</f>
        <v>98950</v>
      </c>
    </row>
    <row r="251" spans="1:32" x14ac:dyDescent="0.3">
      <c r="A251">
        <v>250</v>
      </c>
      <c r="B251">
        <v>230</v>
      </c>
      <c r="C251">
        <v>1</v>
      </c>
      <c r="D251" t="s">
        <v>542</v>
      </c>
      <c r="E251">
        <v>355000</v>
      </c>
      <c r="F251">
        <v>2266.5966386554619</v>
      </c>
      <c r="G251">
        <v>60</v>
      </c>
      <c r="H251" s="2">
        <v>43148</v>
      </c>
      <c r="I251">
        <v>230</v>
      </c>
      <c r="J251" t="s">
        <v>543</v>
      </c>
      <c r="K251" t="s">
        <v>544</v>
      </c>
      <c r="L251" t="s">
        <v>33</v>
      </c>
      <c r="M251" t="s">
        <v>34</v>
      </c>
      <c r="N251" t="s">
        <v>35</v>
      </c>
      <c r="O251" t="s">
        <v>36</v>
      </c>
      <c r="P251">
        <v>63</v>
      </c>
      <c r="Q251">
        <v>284000</v>
      </c>
      <c r="R251">
        <v>9250</v>
      </c>
      <c r="S251">
        <v>2200</v>
      </c>
      <c r="T251">
        <v>1950</v>
      </c>
      <c r="U251">
        <v>355000</v>
      </c>
      <c r="V251">
        <v>297400</v>
      </c>
      <c r="W251">
        <v>0.19367854741089441</v>
      </c>
      <c r="X251">
        <v>57600</v>
      </c>
      <c r="Y251" t="s">
        <v>44</v>
      </c>
      <c r="Z251" s="2">
        <v>43141</v>
      </c>
      <c r="AA251">
        <v>12</v>
      </c>
      <c r="AB251" t="s">
        <v>381</v>
      </c>
      <c r="AC251" t="s">
        <v>382</v>
      </c>
      <c r="AD251" t="s">
        <v>374</v>
      </c>
      <c r="AE251" t="str">
        <f t="shared" si="3"/>
        <v>Saturday</v>
      </c>
      <c r="AF251" s="12">
        <f>Table1[[#This Row],[Total Cost]]+Table1[[#This Row],[PROFIT]]</f>
        <v>355000</v>
      </c>
    </row>
    <row r="252" spans="1:32" x14ac:dyDescent="0.3">
      <c r="A252">
        <v>251</v>
      </c>
      <c r="B252">
        <v>231</v>
      </c>
      <c r="C252">
        <v>1</v>
      </c>
      <c r="D252" t="s">
        <v>545</v>
      </c>
      <c r="E252">
        <v>6000</v>
      </c>
      <c r="F252">
        <v>2266.5966386554619</v>
      </c>
      <c r="G252">
        <v>28</v>
      </c>
      <c r="H252" s="2">
        <v>43164</v>
      </c>
      <c r="I252">
        <v>231</v>
      </c>
      <c r="J252" t="s">
        <v>212</v>
      </c>
      <c r="K252" t="s">
        <v>213</v>
      </c>
      <c r="L252" t="s">
        <v>84</v>
      </c>
      <c r="M252" t="s">
        <v>64</v>
      </c>
      <c r="N252" t="s">
        <v>65</v>
      </c>
      <c r="O252" t="s">
        <v>36</v>
      </c>
      <c r="P252">
        <v>56</v>
      </c>
      <c r="Q252">
        <v>4800</v>
      </c>
      <c r="R252">
        <v>500</v>
      </c>
      <c r="S252">
        <v>750</v>
      </c>
      <c r="T252">
        <v>150</v>
      </c>
      <c r="U252">
        <v>6000</v>
      </c>
      <c r="V252">
        <v>6200</v>
      </c>
      <c r="W252">
        <v>-3.2258064516128997E-2</v>
      </c>
      <c r="X252">
        <v>-200</v>
      </c>
      <c r="Y252" t="s">
        <v>73</v>
      </c>
      <c r="Z252" s="2">
        <v>43160</v>
      </c>
      <c r="AA252">
        <v>10</v>
      </c>
      <c r="AB252" t="s">
        <v>354</v>
      </c>
      <c r="AC252" t="s">
        <v>351</v>
      </c>
      <c r="AD252" t="s">
        <v>71</v>
      </c>
      <c r="AE252" t="str">
        <f t="shared" si="3"/>
        <v>Monday</v>
      </c>
      <c r="AF252" s="12">
        <f>Table1[[#This Row],[Total Cost]]+Table1[[#This Row],[PROFIT]]</f>
        <v>6000</v>
      </c>
    </row>
    <row r="253" spans="1:32" x14ac:dyDescent="0.3">
      <c r="A253">
        <v>252</v>
      </c>
      <c r="B253">
        <v>232</v>
      </c>
      <c r="C253">
        <v>1</v>
      </c>
      <c r="D253" t="s">
        <v>546</v>
      </c>
      <c r="E253">
        <v>5690</v>
      </c>
      <c r="F253">
        <v>750</v>
      </c>
      <c r="G253">
        <v>39</v>
      </c>
      <c r="H253" s="2">
        <v>43164</v>
      </c>
      <c r="I253">
        <v>232</v>
      </c>
      <c r="J253" t="s">
        <v>309</v>
      </c>
      <c r="K253" t="s">
        <v>310</v>
      </c>
      <c r="L253" t="s">
        <v>233</v>
      </c>
      <c r="M253" t="s">
        <v>234</v>
      </c>
      <c r="N253" t="s">
        <v>235</v>
      </c>
      <c r="O253" t="s">
        <v>36</v>
      </c>
      <c r="P253">
        <v>54</v>
      </c>
      <c r="Q253">
        <v>4552</v>
      </c>
      <c r="R253">
        <v>500</v>
      </c>
      <c r="S253">
        <v>750</v>
      </c>
      <c r="T253">
        <v>150</v>
      </c>
      <c r="U253">
        <v>5690</v>
      </c>
      <c r="V253">
        <v>5952</v>
      </c>
      <c r="W253">
        <v>-4.4018817204301119E-2</v>
      </c>
      <c r="X253">
        <v>-262</v>
      </c>
      <c r="Y253" t="s">
        <v>68</v>
      </c>
      <c r="Z253" s="2">
        <v>43160</v>
      </c>
      <c r="AA253">
        <v>9</v>
      </c>
      <c r="AB253" t="s">
        <v>348</v>
      </c>
      <c r="AC253" t="s">
        <v>117</v>
      </c>
      <c r="AD253" t="s">
        <v>40</v>
      </c>
      <c r="AE253" t="str">
        <f t="shared" si="3"/>
        <v>Monday</v>
      </c>
      <c r="AF253" s="12">
        <f>Table1[[#This Row],[Total Cost]]+Table1[[#This Row],[PROFIT]]</f>
        <v>5690</v>
      </c>
    </row>
    <row r="254" spans="1:32" x14ac:dyDescent="0.3">
      <c r="A254">
        <v>253</v>
      </c>
      <c r="B254">
        <v>233</v>
      </c>
      <c r="C254">
        <v>1</v>
      </c>
      <c r="D254" t="s">
        <v>547</v>
      </c>
      <c r="E254">
        <v>56900</v>
      </c>
      <c r="F254">
        <v>500</v>
      </c>
      <c r="G254">
        <v>17</v>
      </c>
      <c r="H254" s="2">
        <v>43167</v>
      </c>
      <c r="I254">
        <v>233</v>
      </c>
      <c r="J254" t="s">
        <v>130</v>
      </c>
      <c r="K254" t="s">
        <v>131</v>
      </c>
      <c r="L254" t="s">
        <v>132</v>
      </c>
      <c r="M254" t="s">
        <v>89</v>
      </c>
      <c r="N254" t="s">
        <v>90</v>
      </c>
      <c r="O254" t="s">
        <v>91</v>
      </c>
      <c r="P254">
        <v>25</v>
      </c>
      <c r="Q254">
        <v>45520</v>
      </c>
      <c r="R254">
        <v>1360</v>
      </c>
      <c r="S254">
        <v>500</v>
      </c>
      <c r="T254">
        <v>550</v>
      </c>
      <c r="U254">
        <v>56900</v>
      </c>
      <c r="V254">
        <v>47930</v>
      </c>
      <c r="W254">
        <v>0.18714792405591479</v>
      </c>
      <c r="X254">
        <v>8970</v>
      </c>
      <c r="Y254" t="s">
        <v>126</v>
      </c>
      <c r="Z254" s="2">
        <v>43160</v>
      </c>
      <c r="AA254">
        <v>4</v>
      </c>
      <c r="AB254" t="s">
        <v>245</v>
      </c>
      <c r="AC254" t="s">
        <v>70</v>
      </c>
      <c r="AD254" t="s">
        <v>71</v>
      </c>
      <c r="AE254" t="str">
        <f t="shared" si="3"/>
        <v>Thursday</v>
      </c>
      <c r="AF254" s="12">
        <f>Table1[[#This Row],[Total Cost]]+Table1[[#This Row],[PROFIT]]</f>
        <v>56900</v>
      </c>
    </row>
    <row r="255" spans="1:32" x14ac:dyDescent="0.3">
      <c r="A255">
        <v>254</v>
      </c>
      <c r="B255">
        <v>234</v>
      </c>
      <c r="C255">
        <v>1</v>
      </c>
      <c r="D255" t="s">
        <v>548</v>
      </c>
      <c r="E255">
        <v>145000</v>
      </c>
      <c r="F255">
        <v>2266.5966386554619</v>
      </c>
      <c r="G255">
        <v>48</v>
      </c>
      <c r="H255" s="2">
        <v>43167</v>
      </c>
      <c r="I255">
        <v>234</v>
      </c>
      <c r="J255" t="s">
        <v>442</v>
      </c>
      <c r="K255" t="s">
        <v>443</v>
      </c>
      <c r="L255" t="s">
        <v>395</v>
      </c>
      <c r="M255" t="s">
        <v>234</v>
      </c>
      <c r="N255" t="s">
        <v>235</v>
      </c>
      <c r="O255" t="s">
        <v>36</v>
      </c>
      <c r="P255">
        <v>20</v>
      </c>
      <c r="Q255">
        <v>116000</v>
      </c>
      <c r="R255">
        <v>9250</v>
      </c>
      <c r="S255">
        <v>1500</v>
      </c>
      <c r="T255">
        <v>1950</v>
      </c>
      <c r="U255">
        <v>368000</v>
      </c>
      <c r="V255">
        <v>128700</v>
      </c>
      <c r="W255">
        <v>1.8593628593628591</v>
      </c>
      <c r="X255">
        <v>239300</v>
      </c>
      <c r="Y255" t="s">
        <v>73</v>
      </c>
      <c r="Z255" s="2">
        <v>43160</v>
      </c>
      <c r="AA255">
        <v>3</v>
      </c>
      <c r="AB255" t="s">
        <v>549</v>
      </c>
      <c r="AC255" t="s">
        <v>181</v>
      </c>
      <c r="AD255" t="s">
        <v>40</v>
      </c>
      <c r="AE255" t="str">
        <f t="shared" si="3"/>
        <v>Thursday</v>
      </c>
      <c r="AF255" s="12">
        <f>Table1[[#This Row],[Total Cost]]+Table1[[#This Row],[PROFIT]]</f>
        <v>368000</v>
      </c>
    </row>
    <row r="256" spans="1:32" x14ac:dyDescent="0.3">
      <c r="A256">
        <v>255</v>
      </c>
      <c r="B256">
        <v>234</v>
      </c>
      <c r="C256">
        <v>2</v>
      </c>
      <c r="D256" t="s">
        <v>550</v>
      </c>
      <c r="E256">
        <v>99500</v>
      </c>
      <c r="F256">
        <v>2266.5966386554619</v>
      </c>
      <c r="G256">
        <v>48</v>
      </c>
      <c r="H256" s="2">
        <v>43167</v>
      </c>
      <c r="I256">
        <v>234</v>
      </c>
      <c r="J256" t="s">
        <v>442</v>
      </c>
      <c r="K256" t="s">
        <v>443</v>
      </c>
      <c r="L256" t="s">
        <v>395</v>
      </c>
      <c r="M256" t="s">
        <v>234</v>
      </c>
      <c r="N256" t="s">
        <v>235</v>
      </c>
      <c r="O256" t="s">
        <v>36</v>
      </c>
      <c r="P256">
        <v>1</v>
      </c>
      <c r="Q256">
        <v>79600</v>
      </c>
      <c r="R256">
        <v>500</v>
      </c>
      <c r="S256">
        <v>1500</v>
      </c>
      <c r="T256">
        <v>750</v>
      </c>
      <c r="U256">
        <v>368000</v>
      </c>
      <c r="V256">
        <v>82350</v>
      </c>
      <c r="W256">
        <v>3.4687310261080762</v>
      </c>
      <c r="X256">
        <v>285650</v>
      </c>
      <c r="Y256" t="s">
        <v>126</v>
      </c>
      <c r="Z256" s="2">
        <v>43160</v>
      </c>
      <c r="AA256">
        <v>1</v>
      </c>
      <c r="AB256" t="s">
        <v>551</v>
      </c>
      <c r="AC256" t="s">
        <v>39</v>
      </c>
      <c r="AD256" t="s">
        <v>40</v>
      </c>
      <c r="AE256" t="str">
        <f t="shared" si="3"/>
        <v>Thursday</v>
      </c>
      <c r="AF256" s="12">
        <f>Table1[[#This Row],[Total Cost]]+Table1[[#This Row],[PROFIT]]</f>
        <v>368000</v>
      </c>
    </row>
    <row r="257" spans="1:32" x14ac:dyDescent="0.3">
      <c r="A257">
        <v>256</v>
      </c>
      <c r="B257">
        <v>234</v>
      </c>
      <c r="C257">
        <v>3</v>
      </c>
      <c r="D257" t="s">
        <v>552</v>
      </c>
      <c r="E257">
        <v>123500</v>
      </c>
      <c r="F257">
        <v>750</v>
      </c>
      <c r="G257">
        <v>48</v>
      </c>
      <c r="H257" s="2">
        <v>43167</v>
      </c>
      <c r="I257">
        <v>234</v>
      </c>
      <c r="J257" t="s">
        <v>442</v>
      </c>
      <c r="K257" t="s">
        <v>443</v>
      </c>
      <c r="L257" t="s">
        <v>395</v>
      </c>
      <c r="M257" t="s">
        <v>234</v>
      </c>
      <c r="N257" t="s">
        <v>235</v>
      </c>
      <c r="O257" t="s">
        <v>36</v>
      </c>
      <c r="P257">
        <v>5</v>
      </c>
      <c r="Q257">
        <v>98800</v>
      </c>
      <c r="R257">
        <v>2175</v>
      </c>
      <c r="S257">
        <v>1500</v>
      </c>
      <c r="T257">
        <v>750</v>
      </c>
      <c r="U257">
        <v>368000</v>
      </c>
      <c r="V257">
        <v>103225</v>
      </c>
      <c r="W257">
        <v>2.565027851780092</v>
      </c>
      <c r="X257">
        <v>264775</v>
      </c>
      <c r="Y257" t="s">
        <v>244</v>
      </c>
      <c r="Z257" s="2">
        <v>43167</v>
      </c>
      <c r="AA257">
        <v>1</v>
      </c>
      <c r="AB257" t="s">
        <v>553</v>
      </c>
      <c r="AC257" t="s">
        <v>39</v>
      </c>
      <c r="AD257" t="s">
        <v>40</v>
      </c>
      <c r="AE257" t="str">
        <f t="shared" si="3"/>
        <v>Thursday</v>
      </c>
      <c r="AF257" s="12">
        <f>Table1[[#This Row],[Total Cost]]+Table1[[#This Row],[PROFIT]]</f>
        <v>368000</v>
      </c>
    </row>
    <row r="258" spans="1:32" x14ac:dyDescent="0.3">
      <c r="A258">
        <v>257</v>
      </c>
      <c r="B258">
        <v>235</v>
      </c>
      <c r="C258">
        <v>1</v>
      </c>
      <c r="D258" t="s">
        <v>554</v>
      </c>
      <c r="E258">
        <v>310000</v>
      </c>
      <c r="F258">
        <v>2266.5966386554619</v>
      </c>
      <c r="G258">
        <v>46</v>
      </c>
      <c r="H258" s="2">
        <v>43174</v>
      </c>
      <c r="I258">
        <v>235</v>
      </c>
      <c r="J258" t="s">
        <v>423</v>
      </c>
      <c r="K258" t="s">
        <v>424</v>
      </c>
      <c r="L258" t="s">
        <v>110</v>
      </c>
      <c r="M258" t="s">
        <v>64</v>
      </c>
      <c r="N258" t="s">
        <v>65</v>
      </c>
      <c r="O258" t="s">
        <v>36</v>
      </c>
      <c r="P258">
        <v>8</v>
      </c>
      <c r="Q258">
        <v>248000</v>
      </c>
      <c r="R258">
        <v>9250</v>
      </c>
      <c r="S258">
        <v>7900</v>
      </c>
      <c r="T258">
        <v>1950</v>
      </c>
      <c r="U258">
        <v>310000</v>
      </c>
      <c r="V258">
        <v>267100</v>
      </c>
      <c r="W258">
        <v>0.16061400224634961</v>
      </c>
      <c r="X258">
        <v>42900</v>
      </c>
      <c r="Y258" t="s">
        <v>126</v>
      </c>
      <c r="Z258" s="2">
        <v>43167</v>
      </c>
      <c r="AA258">
        <v>1</v>
      </c>
      <c r="AB258" t="s">
        <v>403</v>
      </c>
      <c r="AC258" t="s">
        <v>39</v>
      </c>
      <c r="AD258" t="s">
        <v>40</v>
      </c>
      <c r="AE258" t="str">
        <f t="shared" si="3"/>
        <v>Thursday</v>
      </c>
      <c r="AF258" s="12">
        <f>Table1[[#This Row],[Total Cost]]+Table1[[#This Row],[PROFIT]]</f>
        <v>310000</v>
      </c>
    </row>
    <row r="259" spans="1:32" x14ac:dyDescent="0.3">
      <c r="A259">
        <v>258</v>
      </c>
      <c r="B259">
        <v>236</v>
      </c>
      <c r="C259">
        <v>1</v>
      </c>
      <c r="D259" t="s">
        <v>555</v>
      </c>
      <c r="E259">
        <v>9800</v>
      </c>
      <c r="F259">
        <v>35</v>
      </c>
      <c r="G259">
        <v>45</v>
      </c>
      <c r="H259" s="2">
        <v>43178</v>
      </c>
      <c r="I259">
        <v>236</v>
      </c>
      <c r="J259" t="s">
        <v>417</v>
      </c>
      <c r="K259" t="s">
        <v>418</v>
      </c>
      <c r="L259" t="s">
        <v>95</v>
      </c>
      <c r="M259" t="s">
        <v>34</v>
      </c>
      <c r="N259" t="s">
        <v>35</v>
      </c>
      <c r="O259" t="s">
        <v>36</v>
      </c>
      <c r="P259">
        <v>13</v>
      </c>
      <c r="Q259">
        <v>7840</v>
      </c>
      <c r="R259">
        <v>500</v>
      </c>
      <c r="S259">
        <v>750</v>
      </c>
      <c r="T259">
        <v>150</v>
      </c>
      <c r="U259">
        <v>9800</v>
      </c>
      <c r="V259">
        <v>9240</v>
      </c>
      <c r="W259">
        <v>6.0606060606060552E-2</v>
      </c>
      <c r="X259">
        <v>560</v>
      </c>
      <c r="Y259" t="s">
        <v>79</v>
      </c>
      <c r="Z259" s="2">
        <v>43167</v>
      </c>
      <c r="AA259">
        <v>2</v>
      </c>
      <c r="AB259" t="s">
        <v>66</v>
      </c>
      <c r="AC259" t="s">
        <v>51</v>
      </c>
      <c r="AD259" t="s">
        <v>52</v>
      </c>
      <c r="AE259" t="str">
        <f t="shared" ref="AE259:AE322" si="4">TEXT(H259,"dddd")</f>
        <v>Monday</v>
      </c>
      <c r="AF259" s="12">
        <f>Table1[[#This Row],[Total Cost]]+Table1[[#This Row],[PROFIT]]</f>
        <v>9800</v>
      </c>
    </row>
    <row r="260" spans="1:32" x14ac:dyDescent="0.3">
      <c r="A260">
        <v>259</v>
      </c>
      <c r="B260">
        <v>237</v>
      </c>
      <c r="C260">
        <v>1</v>
      </c>
      <c r="D260" t="s">
        <v>556</v>
      </c>
      <c r="E260">
        <v>15950</v>
      </c>
      <c r="F260">
        <v>2266.5966386554619</v>
      </c>
      <c r="G260">
        <v>39</v>
      </c>
      <c r="H260" s="2">
        <v>43192</v>
      </c>
      <c r="I260">
        <v>237</v>
      </c>
      <c r="J260" t="s">
        <v>309</v>
      </c>
      <c r="K260" t="s">
        <v>310</v>
      </c>
      <c r="L260" t="s">
        <v>233</v>
      </c>
      <c r="M260" t="s">
        <v>234</v>
      </c>
      <c r="N260" t="s">
        <v>235</v>
      </c>
      <c r="O260" t="s">
        <v>36</v>
      </c>
      <c r="P260">
        <v>15</v>
      </c>
      <c r="Q260">
        <v>12760</v>
      </c>
      <c r="R260">
        <v>500</v>
      </c>
      <c r="S260">
        <v>500</v>
      </c>
      <c r="T260">
        <v>150</v>
      </c>
      <c r="U260">
        <v>15950</v>
      </c>
      <c r="V260">
        <v>13910</v>
      </c>
      <c r="W260">
        <v>0.14665708123652041</v>
      </c>
      <c r="X260">
        <v>2040</v>
      </c>
      <c r="Y260" t="s">
        <v>126</v>
      </c>
      <c r="Z260" s="2">
        <v>43191</v>
      </c>
      <c r="AA260">
        <v>2</v>
      </c>
      <c r="AB260" t="s">
        <v>229</v>
      </c>
      <c r="AC260" t="s">
        <v>51</v>
      </c>
      <c r="AD260" t="s">
        <v>52</v>
      </c>
      <c r="AE260" t="str">
        <f t="shared" si="4"/>
        <v>Monday</v>
      </c>
      <c r="AF260" s="12">
        <f>Table1[[#This Row],[Total Cost]]+Table1[[#This Row],[PROFIT]]</f>
        <v>15950</v>
      </c>
    </row>
    <row r="261" spans="1:32" x14ac:dyDescent="0.3">
      <c r="A261">
        <v>260</v>
      </c>
      <c r="B261">
        <v>238</v>
      </c>
      <c r="C261">
        <v>1</v>
      </c>
      <c r="D261" t="s">
        <v>557</v>
      </c>
      <c r="E261">
        <v>255000</v>
      </c>
      <c r="F261">
        <v>2266.5966386554619</v>
      </c>
      <c r="G261">
        <v>31</v>
      </c>
      <c r="H261" s="2">
        <v>43199</v>
      </c>
      <c r="I261">
        <v>238</v>
      </c>
      <c r="J261" t="s">
        <v>227</v>
      </c>
      <c r="K261" t="s">
        <v>228</v>
      </c>
      <c r="L261" t="s">
        <v>78</v>
      </c>
      <c r="M261" t="s">
        <v>34</v>
      </c>
      <c r="N261" t="s">
        <v>35</v>
      </c>
      <c r="O261" t="s">
        <v>36</v>
      </c>
      <c r="P261">
        <v>18</v>
      </c>
      <c r="Q261">
        <v>204000</v>
      </c>
      <c r="R261">
        <v>2000</v>
      </c>
      <c r="S261">
        <v>150</v>
      </c>
      <c r="T261">
        <v>1950</v>
      </c>
      <c r="U261">
        <v>267950</v>
      </c>
      <c r="V261">
        <v>208100</v>
      </c>
      <c r="W261">
        <v>0.28760211436809219</v>
      </c>
      <c r="X261">
        <v>59850</v>
      </c>
      <c r="Y261" t="s">
        <v>73</v>
      </c>
      <c r="Z261" s="2">
        <v>43191</v>
      </c>
      <c r="AA261">
        <v>3</v>
      </c>
      <c r="AB261" t="s">
        <v>186</v>
      </c>
      <c r="AC261" t="s">
        <v>181</v>
      </c>
      <c r="AD261" t="s">
        <v>40</v>
      </c>
      <c r="AE261" t="str">
        <f t="shared" si="4"/>
        <v>Monday</v>
      </c>
      <c r="AF261" s="12">
        <f>Table1[[#This Row],[Total Cost]]+Table1[[#This Row],[PROFIT]]</f>
        <v>267950</v>
      </c>
    </row>
    <row r="262" spans="1:32" x14ac:dyDescent="0.3">
      <c r="A262">
        <v>261</v>
      </c>
      <c r="B262">
        <v>238</v>
      </c>
      <c r="C262">
        <v>2</v>
      </c>
      <c r="D262" t="s">
        <v>558</v>
      </c>
      <c r="E262">
        <v>12950</v>
      </c>
      <c r="F262">
        <v>2266.5966386554619</v>
      </c>
      <c r="G262">
        <v>31</v>
      </c>
      <c r="H262" s="2">
        <v>43199</v>
      </c>
      <c r="I262">
        <v>238</v>
      </c>
      <c r="J262" t="s">
        <v>227</v>
      </c>
      <c r="K262" t="s">
        <v>228</v>
      </c>
      <c r="L262" t="s">
        <v>78</v>
      </c>
      <c r="M262" t="s">
        <v>34</v>
      </c>
      <c r="N262" t="s">
        <v>35</v>
      </c>
      <c r="O262" t="s">
        <v>36</v>
      </c>
      <c r="P262">
        <v>48</v>
      </c>
      <c r="Q262">
        <v>10360</v>
      </c>
      <c r="R262">
        <v>1360</v>
      </c>
      <c r="S262">
        <v>750</v>
      </c>
      <c r="T262">
        <v>150</v>
      </c>
      <c r="U262">
        <v>267950</v>
      </c>
      <c r="V262">
        <v>12620</v>
      </c>
      <c r="W262">
        <v>20.23217115689382</v>
      </c>
      <c r="X262">
        <v>255330</v>
      </c>
      <c r="Y262" t="s">
        <v>103</v>
      </c>
      <c r="Z262" s="2">
        <v>43191</v>
      </c>
      <c r="AA262">
        <v>8</v>
      </c>
      <c r="AB262" t="s">
        <v>464</v>
      </c>
      <c r="AC262" t="s">
        <v>112</v>
      </c>
      <c r="AD262" t="s">
        <v>52</v>
      </c>
      <c r="AE262" t="str">
        <f t="shared" si="4"/>
        <v>Monday</v>
      </c>
      <c r="AF262" s="12">
        <f>Table1[[#This Row],[Total Cost]]+Table1[[#This Row],[PROFIT]]</f>
        <v>267950</v>
      </c>
    </row>
    <row r="263" spans="1:32" x14ac:dyDescent="0.3">
      <c r="A263">
        <v>262</v>
      </c>
      <c r="B263">
        <v>239</v>
      </c>
      <c r="C263">
        <v>1</v>
      </c>
      <c r="D263" t="s">
        <v>559</v>
      </c>
      <c r="E263">
        <v>155000</v>
      </c>
      <c r="F263">
        <v>2266.5966386554619</v>
      </c>
      <c r="G263">
        <v>25</v>
      </c>
      <c r="H263" s="2">
        <v>43200</v>
      </c>
      <c r="I263">
        <v>239</v>
      </c>
      <c r="J263" t="s">
        <v>188</v>
      </c>
      <c r="K263" t="s">
        <v>189</v>
      </c>
      <c r="L263" t="s">
        <v>190</v>
      </c>
      <c r="M263" t="s">
        <v>34</v>
      </c>
      <c r="N263" t="s">
        <v>35</v>
      </c>
      <c r="O263" t="s">
        <v>36</v>
      </c>
      <c r="P263">
        <v>6</v>
      </c>
      <c r="Q263">
        <v>124000</v>
      </c>
      <c r="R263">
        <v>3950</v>
      </c>
      <c r="S263">
        <v>3150</v>
      </c>
      <c r="T263">
        <v>1950</v>
      </c>
      <c r="U263">
        <v>155000</v>
      </c>
      <c r="V263">
        <v>133050</v>
      </c>
      <c r="W263">
        <v>0.16497557309282221</v>
      </c>
      <c r="X263">
        <v>21950</v>
      </c>
      <c r="Y263" t="s">
        <v>73</v>
      </c>
      <c r="Z263" s="2">
        <v>43191</v>
      </c>
      <c r="AA263">
        <v>1</v>
      </c>
      <c r="AB263" t="s">
        <v>191</v>
      </c>
      <c r="AC263" t="s">
        <v>39</v>
      </c>
      <c r="AD263" t="s">
        <v>40</v>
      </c>
      <c r="AE263" t="str">
        <f t="shared" si="4"/>
        <v>Tuesday</v>
      </c>
      <c r="AF263" s="12">
        <f>Table1[[#This Row],[Total Cost]]+Table1[[#This Row],[PROFIT]]</f>
        <v>155000</v>
      </c>
    </row>
    <row r="264" spans="1:32" x14ac:dyDescent="0.3">
      <c r="A264">
        <v>263</v>
      </c>
      <c r="B264">
        <v>240</v>
      </c>
      <c r="C264">
        <v>1</v>
      </c>
      <c r="D264" t="s">
        <v>560</v>
      </c>
      <c r="E264">
        <v>2500</v>
      </c>
      <c r="F264">
        <v>2266.5966386554619</v>
      </c>
      <c r="G264">
        <v>36</v>
      </c>
      <c r="H264" s="2">
        <v>43201</v>
      </c>
      <c r="I264">
        <v>240</v>
      </c>
      <c r="J264" t="s">
        <v>273</v>
      </c>
      <c r="K264" t="s">
        <v>274</v>
      </c>
      <c r="L264" t="s">
        <v>88</v>
      </c>
      <c r="M264" t="s">
        <v>89</v>
      </c>
      <c r="N264" t="s">
        <v>90</v>
      </c>
      <c r="O264" t="s">
        <v>91</v>
      </c>
      <c r="P264">
        <v>56</v>
      </c>
      <c r="Q264">
        <v>2000</v>
      </c>
      <c r="R264">
        <v>500</v>
      </c>
      <c r="S264">
        <v>750</v>
      </c>
      <c r="T264">
        <v>150</v>
      </c>
      <c r="U264">
        <v>2500</v>
      </c>
      <c r="V264">
        <v>3400</v>
      </c>
      <c r="W264">
        <v>-0.26470588235294112</v>
      </c>
      <c r="X264">
        <v>-900</v>
      </c>
      <c r="Y264" t="s">
        <v>37</v>
      </c>
      <c r="Z264" s="2">
        <v>43191</v>
      </c>
      <c r="AA264">
        <v>10</v>
      </c>
      <c r="AB264" t="s">
        <v>354</v>
      </c>
      <c r="AC264" t="s">
        <v>351</v>
      </c>
      <c r="AD264" t="s">
        <v>71</v>
      </c>
      <c r="AE264" t="str">
        <f t="shared" si="4"/>
        <v>Wednesday</v>
      </c>
      <c r="AF264" s="12">
        <f>Table1[[#This Row],[Total Cost]]+Table1[[#This Row],[PROFIT]]</f>
        <v>2500</v>
      </c>
    </row>
    <row r="265" spans="1:32" x14ac:dyDescent="0.3">
      <c r="A265">
        <v>264</v>
      </c>
      <c r="B265">
        <v>241</v>
      </c>
      <c r="C265">
        <v>1</v>
      </c>
      <c r="D265" t="s">
        <v>561</v>
      </c>
      <c r="E265">
        <v>9950</v>
      </c>
      <c r="F265">
        <v>2266.5966386554619</v>
      </c>
      <c r="G265">
        <v>28</v>
      </c>
      <c r="H265" s="2">
        <v>43205</v>
      </c>
      <c r="I265">
        <v>241</v>
      </c>
      <c r="J265" t="s">
        <v>212</v>
      </c>
      <c r="K265" t="s">
        <v>213</v>
      </c>
      <c r="L265" t="s">
        <v>84</v>
      </c>
      <c r="M265" t="s">
        <v>64</v>
      </c>
      <c r="N265" t="s">
        <v>65</v>
      </c>
      <c r="O265" t="s">
        <v>36</v>
      </c>
      <c r="P265">
        <v>53</v>
      </c>
      <c r="Q265">
        <v>7960</v>
      </c>
      <c r="R265">
        <v>500</v>
      </c>
      <c r="S265">
        <v>750</v>
      </c>
      <c r="T265">
        <v>150</v>
      </c>
      <c r="U265">
        <v>9950</v>
      </c>
      <c r="V265">
        <v>9360</v>
      </c>
      <c r="W265">
        <v>6.3034188034188032E-2</v>
      </c>
      <c r="X265">
        <v>590</v>
      </c>
      <c r="Y265" t="s">
        <v>44</v>
      </c>
      <c r="Z265" s="2">
        <v>43050</v>
      </c>
      <c r="AA265">
        <v>9</v>
      </c>
      <c r="AB265" t="s">
        <v>562</v>
      </c>
      <c r="AC265" t="s">
        <v>117</v>
      </c>
      <c r="AD265" t="s">
        <v>40</v>
      </c>
      <c r="AE265" t="str">
        <f t="shared" si="4"/>
        <v>Sunday</v>
      </c>
      <c r="AF265" s="12">
        <f>Table1[[#This Row],[Total Cost]]+Table1[[#This Row],[PROFIT]]</f>
        <v>9950</v>
      </c>
    </row>
    <row r="266" spans="1:32" x14ac:dyDescent="0.3">
      <c r="A266">
        <v>265</v>
      </c>
      <c r="B266">
        <v>242</v>
      </c>
      <c r="C266">
        <v>1</v>
      </c>
      <c r="D266" t="s">
        <v>563</v>
      </c>
      <c r="E266">
        <v>39500</v>
      </c>
      <c r="F266">
        <v>2450</v>
      </c>
      <c r="G266">
        <v>36</v>
      </c>
      <c r="H266" s="2">
        <v>43205</v>
      </c>
      <c r="I266">
        <v>242</v>
      </c>
      <c r="J266" t="s">
        <v>273</v>
      </c>
      <c r="K266" t="s">
        <v>274</v>
      </c>
      <c r="L266" t="s">
        <v>88</v>
      </c>
      <c r="M266" t="s">
        <v>89</v>
      </c>
      <c r="N266" t="s">
        <v>90</v>
      </c>
      <c r="O266" t="s">
        <v>91</v>
      </c>
      <c r="P266">
        <v>45</v>
      </c>
      <c r="Q266">
        <v>31600</v>
      </c>
      <c r="R266">
        <v>500</v>
      </c>
      <c r="S266">
        <v>750</v>
      </c>
      <c r="T266">
        <v>550</v>
      </c>
      <c r="U266">
        <v>39500</v>
      </c>
      <c r="V266">
        <v>33400</v>
      </c>
      <c r="W266">
        <v>0.18263473053892221</v>
      </c>
      <c r="X266">
        <v>6100</v>
      </c>
      <c r="Y266" t="s">
        <v>103</v>
      </c>
      <c r="Z266" s="2">
        <v>43191</v>
      </c>
      <c r="AA266">
        <v>8</v>
      </c>
      <c r="AB266" t="s">
        <v>111</v>
      </c>
      <c r="AC266" t="s">
        <v>112</v>
      </c>
      <c r="AD266" t="s">
        <v>52</v>
      </c>
      <c r="AE266" t="str">
        <f t="shared" si="4"/>
        <v>Sunday</v>
      </c>
      <c r="AF266" s="12">
        <f>Table1[[#This Row],[Total Cost]]+Table1[[#This Row],[PROFIT]]</f>
        <v>39500</v>
      </c>
    </row>
    <row r="267" spans="1:32" x14ac:dyDescent="0.3">
      <c r="A267">
        <v>266</v>
      </c>
      <c r="B267">
        <v>243</v>
      </c>
      <c r="C267">
        <v>1</v>
      </c>
      <c r="D267" t="s">
        <v>564</v>
      </c>
      <c r="E267">
        <v>23500</v>
      </c>
      <c r="F267">
        <v>2266.5966386554619</v>
      </c>
      <c r="G267">
        <v>38</v>
      </c>
      <c r="H267" s="2">
        <v>43205</v>
      </c>
      <c r="I267">
        <v>243</v>
      </c>
      <c r="J267" t="s">
        <v>305</v>
      </c>
      <c r="K267" t="s">
        <v>306</v>
      </c>
      <c r="L267" t="s">
        <v>95</v>
      </c>
      <c r="M267" t="s">
        <v>34</v>
      </c>
      <c r="N267" t="s">
        <v>35</v>
      </c>
      <c r="O267" t="s">
        <v>36</v>
      </c>
      <c r="P267">
        <v>46</v>
      </c>
      <c r="Q267">
        <v>18800</v>
      </c>
      <c r="R267">
        <v>1360</v>
      </c>
      <c r="S267">
        <v>750</v>
      </c>
      <c r="T267">
        <v>150</v>
      </c>
      <c r="U267">
        <v>23500</v>
      </c>
      <c r="V267">
        <v>21060</v>
      </c>
      <c r="W267">
        <v>0.1158594491927825</v>
      </c>
      <c r="X267">
        <v>2440</v>
      </c>
      <c r="Y267" t="s">
        <v>73</v>
      </c>
      <c r="Z267" s="2">
        <v>43191</v>
      </c>
      <c r="AA267">
        <v>8</v>
      </c>
      <c r="AB267" t="s">
        <v>466</v>
      </c>
      <c r="AC267" t="s">
        <v>112</v>
      </c>
      <c r="AD267" t="s">
        <v>52</v>
      </c>
      <c r="AE267" t="str">
        <f t="shared" si="4"/>
        <v>Sunday</v>
      </c>
      <c r="AF267" s="12">
        <f>Table1[[#This Row],[Total Cost]]+Table1[[#This Row],[PROFIT]]</f>
        <v>23500</v>
      </c>
    </row>
    <row r="268" spans="1:32" x14ac:dyDescent="0.3">
      <c r="A268">
        <v>267</v>
      </c>
      <c r="B268">
        <v>244</v>
      </c>
      <c r="C268">
        <v>1</v>
      </c>
      <c r="D268" t="s">
        <v>565</v>
      </c>
      <c r="E268">
        <v>45950</v>
      </c>
      <c r="F268">
        <v>2266.5966386554619</v>
      </c>
      <c r="G268">
        <v>39</v>
      </c>
      <c r="H268" s="2">
        <v>43205</v>
      </c>
      <c r="I268">
        <v>244</v>
      </c>
      <c r="J268" t="s">
        <v>309</v>
      </c>
      <c r="K268" t="s">
        <v>310</v>
      </c>
      <c r="L268" t="s">
        <v>233</v>
      </c>
      <c r="M268" t="s">
        <v>234</v>
      </c>
      <c r="N268" t="s">
        <v>235</v>
      </c>
      <c r="O268" t="s">
        <v>36</v>
      </c>
      <c r="P268">
        <v>24</v>
      </c>
      <c r="Q268">
        <v>36760</v>
      </c>
      <c r="R268">
        <v>500</v>
      </c>
      <c r="S268">
        <v>750</v>
      </c>
      <c r="T268">
        <v>550</v>
      </c>
      <c r="U268">
        <v>45950</v>
      </c>
      <c r="V268">
        <v>38560</v>
      </c>
      <c r="W268">
        <v>0.19164937759336101</v>
      </c>
      <c r="X268">
        <v>7390</v>
      </c>
      <c r="Y268" t="s">
        <v>73</v>
      </c>
      <c r="Z268" s="2">
        <v>43191</v>
      </c>
      <c r="AA268">
        <v>4</v>
      </c>
      <c r="AB268" t="s">
        <v>80</v>
      </c>
      <c r="AC268" t="s">
        <v>70</v>
      </c>
      <c r="AD268" t="s">
        <v>71</v>
      </c>
      <c r="AE268" t="str">
        <f t="shared" si="4"/>
        <v>Sunday</v>
      </c>
      <c r="AF268" s="12">
        <f>Table1[[#This Row],[Total Cost]]+Table1[[#This Row],[PROFIT]]</f>
        <v>45950</v>
      </c>
    </row>
    <row r="269" spans="1:32" x14ac:dyDescent="0.3">
      <c r="A269">
        <v>268</v>
      </c>
      <c r="B269">
        <v>245</v>
      </c>
      <c r="C269">
        <v>1</v>
      </c>
      <c r="D269" t="s">
        <v>566</v>
      </c>
      <c r="E269">
        <v>55000</v>
      </c>
      <c r="F269">
        <v>750</v>
      </c>
      <c r="G269">
        <v>51</v>
      </c>
      <c r="H269" s="2">
        <v>43205</v>
      </c>
      <c r="I269">
        <v>245</v>
      </c>
      <c r="J269" t="s">
        <v>273</v>
      </c>
      <c r="K269" t="s">
        <v>502</v>
      </c>
      <c r="L269" t="s">
        <v>164</v>
      </c>
      <c r="M269" t="s">
        <v>89</v>
      </c>
      <c r="N269" t="s">
        <v>90</v>
      </c>
      <c r="O269" t="s">
        <v>91</v>
      </c>
      <c r="P269">
        <v>25</v>
      </c>
      <c r="Q269">
        <v>44000</v>
      </c>
      <c r="R269">
        <v>500</v>
      </c>
      <c r="S269">
        <v>750</v>
      </c>
      <c r="T269">
        <v>550</v>
      </c>
      <c r="U269">
        <v>55000</v>
      </c>
      <c r="V269">
        <v>45800</v>
      </c>
      <c r="W269">
        <v>0.2008733624454149</v>
      </c>
      <c r="X269">
        <v>9200</v>
      </c>
      <c r="Y269" t="s">
        <v>44</v>
      </c>
      <c r="Z269" s="2">
        <v>43191</v>
      </c>
      <c r="AA269">
        <v>4</v>
      </c>
      <c r="AB269" t="s">
        <v>245</v>
      </c>
      <c r="AC269" t="s">
        <v>70</v>
      </c>
      <c r="AD269" t="s">
        <v>71</v>
      </c>
      <c r="AE269" t="str">
        <f t="shared" si="4"/>
        <v>Sunday</v>
      </c>
      <c r="AF269" s="12">
        <f>Table1[[#This Row],[Total Cost]]+Table1[[#This Row],[PROFIT]]</f>
        <v>55000</v>
      </c>
    </row>
    <row r="270" spans="1:32" x14ac:dyDescent="0.3">
      <c r="A270">
        <v>269</v>
      </c>
      <c r="B270">
        <v>246</v>
      </c>
      <c r="C270">
        <v>1</v>
      </c>
      <c r="D270" t="s">
        <v>567</v>
      </c>
      <c r="E270">
        <v>100000</v>
      </c>
      <c r="F270">
        <v>2266.5966386554619</v>
      </c>
      <c r="G270">
        <v>56</v>
      </c>
      <c r="H270" s="2">
        <v>43210</v>
      </c>
      <c r="I270">
        <v>246</v>
      </c>
      <c r="J270" t="s">
        <v>528</v>
      </c>
      <c r="K270" t="s">
        <v>529</v>
      </c>
      <c r="L270" t="s">
        <v>33</v>
      </c>
      <c r="M270" t="s">
        <v>34</v>
      </c>
      <c r="N270" t="s">
        <v>35</v>
      </c>
      <c r="O270" t="s">
        <v>36</v>
      </c>
      <c r="P270">
        <v>26</v>
      </c>
      <c r="Q270">
        <v>80000</v>
      </c>
      <c r="R270">
        <v>500</v>
      </c>
      <c r="S270">
        <v>750</v>
      </c>
      <c r="T270">
        <v>750</v>
      </c>
      <c r="U270">
        <v>100000</v>
      </c>
      <c r="V270">
        <v>82000</v>
      </c>
      <c r="W270">
        <v>0.21951219512195119</v>
      </c>
      <c r="X270">
        <v>18000</v>
      </c>
      <c r="Y270" t="s">
        <v>44</v>
      </c>
      <c r="Z270" s="2">
        <v>43191</v>
      </c>
      <c r="AA270">
        <v>4</v>
      </c>
      <c r="AB270" t="s">
        <v>147</v>
      </c>
      <c r="AC270" t="s">
        <v>70</v>
      </c>
      <c r="AD270" t="s">
        <v>71</v>
      </c>
      <c r="AE270" t="str">
        <f t="shared" si="4"/>
        <v>Friday</v>
      </c>
      <c r="AF270" s="12">
        <f>Table1[[#This Row],[Total Cost]]+Table1[[#This Row],[PROFIT]]</f>
        <v>100000</v>
      </c>
    </row>
    <row r="271" spans="1:32" x14ac:dyDescent="0.3">
      <c r="A271">
        <v>270</v>
      </c>
      <c r="B271">
        <v>247</v>
      </c>
      <c r="C271">
        <v>1</v>
      </c>
      <c r="D271" t="s">
        <v>568</v>
      </c>
      <c r="E271">
        <v>44885</v>
      </c>
      <c r="F271">
        <v>2266.5966386554619</v>
      </c>
      <c r="G271">
        <v>61</v>
      </c>
      <c r="H271" s="2">
        <v>43210</v>
      </c>
      <c r="I271">
        <v>247</v>
      </c>
      <c r="J271" t="s">
        <v>569</v>
      </c>
      <c r="K271" t="s">
        <v>570</v>
      </c>
      <c r="L271" t="s">
        <v>78</v>
      </c>
      <c r="M271" t="s">
        <v>34</v>
      </c>
      <c r="N271" t="s">
        <v>35</v>
      </c>
      <c r="O271" t="s">
        <v>36</v>
      </c>
      <c r="P271">
        <v>24</v>
      </c>
      <c r="Q271">
        <v>35908</v>
      </c>
      <c r="R271">
        <v>2000</v>
      </c>
      <c r="S271">
        <v>750</v>
      </c>
      <c r="T271">
        <v>550</v>
      </c>
      <c r="U271">
        <v>44885</v>
      </c>
      <c r="V271">
        <v>39208</v>
      </c>
      <c r="W271">
        <v>0.1447918792083249</v>
      </c>
      <c r="X271">
        <v>5677</v>
      </c>
      <c r="Y271" t="s">
        <v>49</v>
      </c>
      <c r="Z271" s="2">
        <v>43191</v>
      </c>
      <c r="AA271">
        <v>4</v>
      </c>
      <c r="AB271" t="s">
        <v>80</v>
      </c>
      <c r="AC271" t="s">
        <v>70</v>
      </c>
      <c r="AD271" t="s">
        <v>71</v>
      </c>
      <c r="AE271" t="str">
        <f t="shared" si="4"/>
        <v>Friday</v>
      </c>
      <c r="AF271" s="12">
        <f>Table1[[#This Row],[Total Cost]]+Table1[[#This Row],[PROFIT]]</f>
        <v>44885</v>
      </c>
    </row>
    <row r="272" spans="1:32" x14ac:dyDescent="0.3">
      <c r="A272">
        <v>271</v>
      </c>
      <c r="B272">
        <v>248</v>
      </c>
      <c r="C272">
        <v>1</v>
      </c>
      <c r="D272" t="s">
        <v>571</v>
      </c>
      <c r="E272">
        <v>61500</v>
      </c>
      <c r="F272">
        <v>2266.5966386554619</v>
      </c>
      <c r="G272">
        <v>62</v>
      </c>
      <c r="H272" s="2">
        <v>43212</v>
      </c>
      <c r="I272">
        <v>248</v>
      </c>
      <c r="J272" t="s">
        <v>572</v>
      </c>
      <c r="K272" t="s">
        <v>573</v>
      </c>
      <c r="L272" t="s">
        <v>78</v>
      </c>
      <c r="M272" t="s">
        <v>34</v>
      </c>
      <c r="N272" t="s">
        <v>35</v>
      </c>
      <c r="O272" t="s">
        <v>36</v>
      </c>
      <c r="P272">
        <v>78</v>
      </c>
      <c r="Q272">
        <v>49200</v>
      </c>
      <c r="R272">
        <v>500</v>
      </c>
      <c r="S272">
        <v>750</v>
      </c>
      <c r="T272">
        <v>550</v>
      </c>
      <c r="U272">
        <v>61500</v>
      </c>
      <c r="V272">
        <v>51000</v>
      </c>
      <c r="W272">
        <v>0.20588235294117641</v>
      </c>
      <c r="X272">
        <v>10500</v>
      </c>
      <c r="Y272" t="s">
        <v>73</v>
      </c>
      <c r="Z272" s="2">
        <v>43191</v>
      </c>
      <c r="AA272">
        <v>17</v>
      </c>
      <c r="AB272" t="s">
        <v>360</v>
      </c>
      <c r="AC272" t="s">
        <v>361</v>
      </c>
      <c r="AD272" t="s">
        <v>40</v>
      </c>
      <c r="AE272" t="str">
        <f t="shared" si="4"/>
        <v>Sunday</v>
      </c>
      <c r="AF272" s="12">
        <f>Table1[[#This Row],[Total Cost]]+Table1[[#This Row],[PROFIT]]</f>
        <v>61500</v>
      </c>
    </row>
    <row r="273" spans="1:32" x14ac:dyDescent="0.3">
      <c r="A273">
        <v>272</v>
      </c>
      <c r="B273">
        <v>249</v>
      </c>
      <c r="C273">
        <v>1</v>
      </c>
      <c r="D273" t="s">
        <v>574</v>
      </c>
      <c r="E273">
        <v>950</v>
      </c>
      <c r="F273">
        <v>2266.5966386554619</v>
      </c>
      <c r="G273">
        <v>52</v>
      </c>
      <c r="H273" s="2">
        <v>43213</v>
      </c>
      <c r="I273">
        <v>249</v>
      </c>
      <c r="J273" t="s">
        <v>504</v>
      </c>
      <c r="K273" t="s">
        <v>505</v>
      </c>
      <c r="L273" t="s">
        <v>142</v>
      </c>
      <c r="M273" t="s">
        <v>34</v>
      </c>
      <c r="N273" t="s">
        <v>35</v>
      </c>
      <c r="O273" t="s">
        <v>36</v>
      </c>
      <c r="P273">
        <v>98</v>
      </c>
      <c r="Q273">
        <v>760</v>
      </c>
      <c r="R273">
        <v>500</v>
      </c>
      <c r="S273">
        <v>750</v>
      </c>
      <c r="T273">
        <v>150</v>
      </c>
      <c r="U273">
        <v>950</v>
      </c>
      <c r="V273">
        <v>2160</v>
      </c>
      <c r="W273">
        <v>-0.56018518518518512</v>
      </c>
      <c r="X273">
        <v>-1210</v>
      </c>
      <c r="Y273" t="s">
        <v>73</v>
      </c>
      <c r="Z273" s="2">
        <v>43191</v>
      </c>
      <c r="AA273">
        <v>23</v>
      </c>
      <c r="AB273" t="s">
        <v>356</v>
      </c>
      <c r="AC273" t="s">
        <v>336</v>
      </c>
      <c r="AD273" t="s">
        <v>52</v>
      </c>
      <c r="AE273" t="str">
        <f t="shared" si="4"/>
        <v>Monday</v>
      </c>
      <c r="AF273" s="12">
        <f>Table1[[#This Row],[Total Cost]]+Table1[[#This Row],[PROFIT]]</f>
        <v>950</v>
      </c>
    </row>
    <row r="274" spans="1:32" x14ac:dyDescent="0.3">
      <c r="A274">
        <v>273</v>
      </c>
      <c r="B274">
        <v>250</v>
      </c>
      <c r="C274">
        <v>1</v>
      </c>
      <c r="D274" t="s">
        <v>575</v>
      </c>
      <c r="E274">
        <v>195000</v>
      </c>
      <c r="F274">
        <v>2266.5966386554619</v>
      </c>
      <c r="G274">
        <v>63</v>
      </c>
      <c r="H274" s="2">
        <v>43214</v>
      </c>
      <c r="I274">
        <v>250</v>
      </c>
      <c r="J274" t="s">
        <v>576</v>
      </c>
      <c r="K274" t="s">
        <v>577</v>
      </c>
      <c r="L274" t="s">
        <v>239</v>
      </c>
      <c r="M274" t="s">
        <v>240</v>
      </c>
      <c r="N274" t="s">
        <v>241</v>
      </c>
      <c r="O274" t="s">
        <v>36</v>
      </c>
      <c r="P274">
        <v>5</v>
      </c>
      <c r="Q274">
        <v>156000</v>
      </c>
      <c r="R274">
        <v>9250</v>
      </c>
      <c r="S274">
        <v>750</v>
      </c>
      <c r="T274">
        <v>1950</v>
      </c>
      <c r="U274">
        <v>195000</v>
      </c>
      <c r="V274">
        <v>167950</v>
      </c>
      <c r="W274">
        <v>0.1610598392378684</v>
      </c>
      <c r="X274">
        <v>27050</v>
      </c>
      <c r="Y274" t="s">
        <v>49</v>
      </c>
      <c r="Z274" s="2">
        <v>43191</v>
      </c>
      <c r="AA274">
        <v>1</v>
      </c>
      <c r="AB274" t="s">
        <v>553</v>
      </c>
      <c r="AC274" t="s">
        <v>39</v>
      </c>
      <c r="AD274" t="s">
        <v>40</v>
      </c>
      <c r="AE274" t="str">
        <f t="shared" si="4"/>
        <v>Tuesday</v>
      </c>
      <c r="AF274" s="12">
        <f>Table1[[#This Row],[Total Cost]]+Table1[[#This Row],[PROFIT]]</f>
        <v>195000</v>
      </c>
    </row>
    <row r="275" spans="1:32" x14ac:dyDescent="0.3">
      <c r="A275">
        <v>274</v>
      </c>
      <c r="B275">
        <v>251</v>
      </c>
      <c r="C275">
        <v>1</v>
      </c>
      <c r="D275" t="s">
        <v>578</v>
      </c>
      <c r="E275">
        <v>52500</v>
      </c>
      <c r="F275">
        <v>1575</v>
      </c>
      <c r="G275">
        <v>64</v>
      </c>
      <c r="H275" s="2">
        <v>43219</v>
      </c>
      <c r="I275">
        <v>251</v>
      </c>
      <c r="J275" t="s">
        <v>579</v>
      </c>
      <c r="K275" t="s">
        <v>580</v>
      </c>
      <c r="L275" t="s">
        <v>233</v>
      </c>
      <c r="M275" t="s">
        <v>234</v>
      </c>
      <c r="N275" t="s">
        <v>235</v>
      </c>
      <c r="O275" t="s">
        <v>36</v>
      </c>
      <c r="P275">
        <v>21</v>
      </c>
      <c r="Q275">
        <v>42000</v>
      </c>
      <c r="R275">
        <v>500</v>
      </c>
      <c r="S275">
        <v>750</v>
      </c>
      <c r="T275">
        <v>550</v>
      </c>
      <c r="U275">
        <v>52500</v>
      </c>
      <c r="V275">
        <v>43800</v>
      </c>
      <c r="W275">
        <v>0.1986301369863013</v>
      </c>
      <c r="X275">
        <v>8700</v>
      </c>
      <c r="Y275" t="s">
        <v>103</v>
      </c>
      <c r="Z275" s="2">
        <v>43191</v>
      </c>
      <c r="AA275">
        <v>4</v>
      </c>
      <c r="AB275" t="s">
        <v>398</v>
      </c>
      <c r="AC275" t="s">
        <v>70</v>
      </c>
      <c r="AD275" t="s">
        <v>71</v>
      </c>
      <c r="AE275" t="str">
        <f t="shared" si="4"/>
        <v>Sunday</v>
      </c>
      <c r="AF275" s="12">
        <f>Table1[[#This Row],[Total Cost]]+Table1[[#This Row],[PROFIT]]</f>
        <v>52500</v>
      </c>
    </row>
    <row r="276" spans="1:32" x14ac:dyDescent="0.3">
      <c r="A276">
        <v>275</v>
      </c>
      <c r="B276">
        <v>252</v>
      </c>
      <c r="C276">
        <v>1</v>
      </c>
      <c r="D276" t="s">
        <v>581</v>
      </c>
      <c r="E276">
        <v>1350</v>
      </c>
      <c r="F276">
        <v>2266.5966386554619</v>
      </c>
      <c r="G276">
        <v>3</v>
      </c>
      <c r="H276" s="2">
        <v>43223</v>
      </c>
      <c r="I276">
        <v>252</v>
      </c>
      <c r="J276" t="s">
        <v>47</v>
      </c>
      <c r="K276" t="s">
        <v>48</v>
      </c>
      <c r="L276" t="s">
        <v>33</v>
      </c>
      <c r="M276" t="s">
        <v>34</v>
      </c>
      <c r="N276" t="s">
        <v>35</v>
      </c>
      <c r="O276" t="s">
        <v>36</v>
      </c>
      <c r="P276">
        <v>65</v>
      </c>
      <c r="Q276">
        <v>1080</v>
      </c>
      <c r="R276">
        <v>500</v>
      </c>
      <c r="S276">
        <v>750</v>
      </c>
      <c r="T276">
        <v>150</v>
      </c>
      <c r="U276">
        <v>1350</v>
      </c>
      <c r="V276">
        <v>2480</v>
      </c>
      <c r="W276">
        <v>-0.45564516129032262</v>
      </c>
      <c r="X276">
        <v>-1130</v>
      </c>
      <c r="Y276" t="s">
        <v>73</v>
      </c>
      <c r="Z276" s="2">
        <v>43221</v>
      </c>
      <c r="AA276">
        <v>13</v>
      </c>
      <c r="AB276" t="s">
        <v>372</v>
      </c>
      <c r="AC276" t="s">
        <v>373</v>
      </c>
      <c r="AD276" t="s">
        <v>374</v>
      </c>
      <c r="AE276" t="str">
        <f t="shared" si="4"/>
        <v>Thursday</v>
      </c>
      <c r="AF276" s="12">
        <f>Table1[[#This Row],[Total Cost]]+Table1[[#This Row],[PROFIT]]</f>
        <v>1350</v>
      </c>
    </row>
    <row r="277" spans="1:32" x14ac:dyDescent="0.3">
      <c r="A277">
        <v>276</v>
      </c>
      <c r="B277">
        <v>253</v>
      </c>
      <c r="C277">
        <v>1</v>
      </c>
      <c r="D277" t="s">
        <v>582</v>
      </c>
      <c r="E277">
        <v>2495</v>
      </c>
      <c r="F277">
        <v>45</v>
      </c>
      <c r="G277">
        <v>21</v>
      </c>
      <c r="H277" s="2">
        <v>43223</v>
      </c>
      <c r="I277">
        <v>253</v>
      </c>
      <c r="J277" t="s">
        <v>166</v>
      </c>
      <c r="K277" t="s">
        <v>167</v>
      </c>
      <c r="L277" t="s">
        <v>142</v>
      </c>
      <c r="M277" t="s">
        <v>34</v>
      </c>
      <c r="N277" t="s">
        <v>35</v>
      </c>
      <c r="O277" t="s">
        <v>36</v>
      </c>
      <c r="P277">
        <v>98</v>
      </c>
      <c r="Q277">
        <v>1996</v>
      </c>
      <c r="R277">
        <v>500</v>
      </c>
      <c r="S277">
        <v>750</v>
      </c>
      <c r="T277">
        <v>150</v>
      </c>
      <c r="U277">
        <v>2495</v>
      </c>
      <c r="V277">
        <v>3396</v>
      </c>
      <c r="W277">
        <v>-0.26531213191990582</v>
      </c>
      <c r="X277">
        <v>-901</v>
      </c>
      <c r="Y277" t="s">
        <v>79</v>
      </c>
      <c r="Z277" s="2">
        <v>43221</v>
      </c>
      <c r="AA277">
        <v>23</v>
      </c>
      <c r="AB277" t="s">
        <v>356</v>
      </c>
      <c r="AC277" t="s">
        <v>336</v>
      </c>
      <c r="AD277" t="s">
        <v>52</v>
      </c>
      <c r="AE277" t="str">
        <f t="shared" si="4"/>
        <v>Thursday</v>
      </c>
      <c r="AF277" s="12">
        <f>Table1[[#This Row],[Total Cost]]+Table1[[#This Row],[PROFIT]]</f>
        <v>2495</v>
      </c>
    </row>
    <row r="278" spans="1:32" x14ac:dyDescent="0.3">
      <c r="A278">
        <v>277</v>
      </c>
      <c r="B278">
        <v>254</v>
      </c>
      <c r="C278">
        <v>1</v>
      </c>
      <c r="D278" t="s">
        <v>583</v>
      </c>
      <c r="E278">
        <v>269500</v>
      </c>
      <c r="F278">
        <v>2266.5966386554619</v>
      </c>
      <c r="G278">
        <v>35</v>
      </c>
      <c r="H278" s="2">
        <v>43235</v>
      </c>
      <c r="I278">
        <v>254</v>
      </c>
      <c r="J278" t="s">
        <v>270</v>
      </c>
      <c r="K278" t="s">
        <v>271</v>
      </c>
      <c r="L278" t="s">
        <v>84</v>
      </c>
      <c r="M278" t="s">
        <v>64</v>
      </c>
      <c r="N278" t="s">
        <v>65</v>
      </c>
      <c r="O278" t="s">
        <v>36</v>
      </c>
      <c r="P278">
        <v>7</v>
      </c>
      <c r="Q278">
        <v>215600</v>
      </c>
      <c r="R278">
        <v>5500</v>
      </c>
      <c r="S278">
        <v>1500</v>
      </c>
      <c r="T278">
        <v>1950</v>
      </c>
      <c r="U278">
        <v>269500</v>
      </c>
      <c r="V278">
        <v>224550</v>
      </c>
      <c r="W278">
        <v>0.20017813404586951</v>
      </c>
      <c r="X278">
        <v>44950</v>
      </c>
      <c r="Y278" t="s">
        <v>244</v>
      </c>
      <c r="Z278" s="2">
        <v>43221</v>
      </c>
      <c r="AA278">
        <v>1</v>
      </c>
      <c r="AB278" t="s">
        <v>407</v>
      </c>
      <c r="AC278" t="s">
        <v>39</v>
      </c>
      <c r="AD278" t="s">
        <v>40</v>
      </c>
      <c r="AE278" t="str">
        <f t="shared" si="4"/>
        <v>Tuesday</v>
      </c>
      <c r="AF278" s="12">
        <f>Table1[[#This Row],[Total Cost]]+Table1[[#This Row],[PROFIT]]</f>
        <v>269500</v>
      </c>
    </row>
    <row r="279" spans="1:32" x14ac:dyDescent="0.3">
      <c r="A279">
        <v>278</v>
      </c>
      <c r="B279">
        <v>255</v>
      </c>
      <c r="C279">
        <v>1</v>
      </c>
      <c r="D279" t="s">
        <v>584</v>
      </c>
      <c r="E279">
        <v>195000</v>
      </c>
      <c r="F279">
        <v>2266.5966386554619</v>
      </c>
      <c r="G279">
        <v>65</v>
      </c>
      <c r="H279" s="2">
        <v>43235</v>
      </c>
      <c r="I279">
        <v>255</v>
      </c>
      <c r="J279" t="s">
        <v>585</v>
      </c>
      <c r="K279" t="s">
        <v>586</v>
      </c>
      <c r="L279" t="s">
        <v>88</v>
      </c>
      <c r="M279" t="s">
        <v>89</v>
      </c>
      <c r="N279" t="s">
        <v>90</v>
      </c>
      <c r="O279" t="s">
        <v>91</v>
      </c>
      <c r="P279">
        <v>8</v>
      </c>
      <c r="Q279">
        <v>156000</v>
      </c>
      <c r="R279">
        <v>3950</v>
      </c>
      <c r="S279">
        <v>1500</v>
      </c>
      <c r="T279">
        <v>1950</v>
      </c>
      <c r="U279">
        <v>195000</v>
      </c>
      <c r="V279">
        <v>163400</v>
      </c>
      <c r="W279">
        <v>0.19339045287637699</v>
      </c>
      <c r="X279">
        <v>31600</v>
      </c>
      <c r="Y279" t="s">
        <v>103</v>
      </c>
      <c r="Z279" s="2">
        <v>43221</v>
      </c>
      <c r="AA279">
        <v>1</v>
      </c>
      <c r="AB279" t="s">
        <v>403</v>
      </c>
      <c r="AC279" t="s">
        <v>39</v>
      </c>
      <c r="AD279" t="s">
        <v>40</v>
      </c>
      <c r="AE279" t="str">
        <f t="shared" si="4"/>
        <v>Tuesday</v>
      </c>
      <c r="AF279" s="12">
        <f>Table1[[#This Row],[Total Cost]]+Table1[[#This Row],[PROFIT]]</f>
        <v>195000</v>
      </c>
    </row>
    <row r="280" spans="1:32" x14ac:dyDescent="0.3">
      <c r="A280">
        <v>279</v>
      </c>
      <c r="B280">
        <v>256</v>
      </c>
      <c r="C280">
        <v>1</v>
      </c>
      <c r="D280" t="s">
        <v>587</v>
      </c>
      <c r="E280">
        <v>25950</v>
      </c>
      <c r="F280">
        <v>1250</v>
      </c>
      <c r="G280">
        <v>66</v>
      </c>
      <c r="H280" s="2">
        <v>43243</v>
      </c>
      <c r="I280">
        <v>256</v>
      </c>
      <c r="J280" t="s">
        <v>588</v>
      </c>
      <c r="K280" t="s">
        <v>589</v>
      </c>
      <c r="L280" t="s">
        <v>95</v>
      </c>
      <c r="M280" t="s">
        <v>34</v>
      </c>
      <c r="N280" t="s">
        <v>35</v>
      </c>
      <c r="O280" t="s">
        <v>36</v>
      </c>
      <c r="P280">
        <v>85</v>
      </c>
      <c r="Q280">
        <v>20760</v>
      </c>
      <c r="R280">
        <v>1360</v>
      </c>
      <c r="S280">
        <v>750</v>
      </c>
      <c r="T280">
        <v>150</v>
      </c>
      <c r="U280">
        <v>25950</v>
      </c>
      <c r="V280">
        <v>23020</v>
      </c>
      <c r="W280">
        <v>0.12728062554300609</v>
      </c>
      <c r="X280">
        <v>2930</v>
      </c>
      <c r="Y280" t="s">
        <v>73</v>
      </c>
      <c r="Z280" s="2">
        <v>43221</v>
      </c>
      <c r="AA280">
        <v>20</v>
      </c>
      <c r="AB280" t="s">
        <v>433</v>
      </c>
      <c r="AC280" t="s">
        <v>434</v>
      </c>
      <c r="AD280" t="s">
        <v>71</v>
      </c>
      <c r="AE280" t="str">
        <f t="shared" si="4"/>
        <v>Wednesday</v>
      </c>
      <c r="AF280" s="12">
        <f>Table1[[#This Row],[Total Cost]]+Table1[[#This Row],[PROFIT]]</f>
        <v>25950</v>
      </c>
    </row>
    <row r="281" spans="1:32" x14ac:dyDescent="0.3">
      <c r="A281">
        <v>280</v>
      </c>
      <c r="B281">
        <v>257</v>
      </c>
      <c r="C281">
        <v>1</v>
      </c>
      <c r="D281" t="s">
        <v>590</v>
      </c>
      <c r="E281">
        <v>9990</v>
      </c>
      <c r="F281">
        <v>2266.5966386554619</v>
      </c>
      <c r="G281">
        <v>61</v>
      </c>
      <c r="H281" s="2">
        <v>43243</v>
      </c>
      <c r="I281">
        <v>257</v>
      </c>
      <c r="J281" t="s">
        <v>569</v>
      </c>
      <c r="K281" t="s">
        <v>570</v>
      </c>
      <c r="L281" t="s">
        <v>78</v>
      </c>
      <c r="M281" t="s">
        <v>34</v>
      </c>
      <c r="N281" t="s">
        <v>35</v>
      </c>
      <c r="O281" t="s">
        <v>36</v>
      </c>
      <c r="P281">
        <v>86</v>
      </c>
      <c r="Q281">
        <v>7992</v>
      </c>
      <c r="R281">
        <v>500</v>
      </c>
      <c r="S281">
        <v>750</v>
      </c>
      <c r="T281">
        <v>150</v>
      </c>
      <c r="U281">
        <v>9990</v>
      </c>
      <c r="V281">
        <v>9392</v>
      </c>
      <c r="W281">
        <v>6.3671209540034024E-2</v>
      </c>
      <c r="X281">
        <v>598</v>
      </c>
      <c r="Y281" t="s">
        <v>73</v>
      </c>
      <c r="Z281" s="2">
        <v>43221</v>
      </c>
      <c r="AA281">
        <v>21</v>
      </c>
      <c r="AB281" t="s">
        <v>133</v>
      </c>
      <c r="AC281" t="s">
        <v>134</v>
      </c>
      <c r="AD281" t="s">
        <v>71</v>
      </c>
      <c r="AE281" t="str">
        <f t="shared" si="4"/>
        <v>Wednesday</v>
      </c>
      <c r="AF281" s="12">
        <f>Table1[[#This Row],[Total Cost]]+Table1[[#This Row],[PROFIT]]</f>
        <v>9990</v>
      </c>
    </row>
    <row r="282" spans="1:32" x14ac:dyDescent="0.3">
      <c r="A282">
        <v>281</v>
      </c>
      <c r="B282">
        <v>258</v>
      </c>
      <c r="C282">
        <v>1</v>
      </c>
      <c r="D282" t="s">
        <v>591</v>
      </c>
      <c r="E282">
        <v>135000</v>
      </c>
      <c r="F282">
        <v>2266.5966386554619</v>
      </c>
      <c r="G282">
        <v>63</v>
      </c>
      <c r="H282" s="2">
        <v>43245</v>
      </c>
      <c r="I282">
        <v>258</v>
      </c>
      <c r="J282" t="s">
        <v>576</v>
      </c>
      <c r="K282" t="s">
        <v>577</v>
      </c>
      <c r="L282" t="s">
        <v>239</v>
      </c>
      <c r="M282" t="s">
        <v>240</v>
      </c>
      <c r="N282" t="s">
        <v>241</v>
      </c>
      <c r="O282" t="s">
        <v>36</v>
      </c>
      <c r="P282">
        <v>9</v>
      </c>
      <c r="Q282">
        <v>108000</v>
      </c>
      <c r="R282">
        <v>5500</v>
      </c>
      <c r="S282">
        <v>5600</v>
      </c>
      <c r="T282">
        <v>1950</v>
      </c>
      <c r="U282">
        <v>135000</v>
      </c>
      <c r="V282">
        <v>121050</v>
      </c>
      <c r="W282">
        <v>0.11524163568773239</v>
      </c>
      <c r="X282">
        <v>13950</v>
      </c>
      <c r="Y282" t="s">
        <v>49</v>
      </c>
      <c r="Z282" s="2">
        <v>43221</v>
      </c>
      <c r="AA282">
        <v>1</v>
      </c>
      <c r="AB282" t="s">
        <v>195</v>
      </c>
      <c r="AC282" t="s">
        <v>39</v>
      </c>
      <c r="AD282" t="s">
        <v>40</v>
      </c>
      <c r="AE282" t="str">
        <f t="shared" si="4"/>
        <v>Friday</v>
      </c>
      <c r="AF282" s="12">
        <f>Table1[[#This Row],[Total Cost]]+Table1[[#This Row],[PROFIT]]</f>
        <v>135000</v>
      </c>
    </row>
    <row r="283" spans="1:32" x14ac:dyDescent="0.3">
      <c r="A283">
        <v>282</v>
      </c>
      <c r="B283">
        <v>259</v>
      </c>
      <c r="C283">
        <v>1</v>
      </c>
      <c r="D283" t="s">
        <v>592</v>
      </c>
      <c r="E283">
        <v>1250</v>
      </c>
      <c r="F283">
        <v>2266.5966386554619</v>
      </c>
      <c r="G283">
        <v>62</v>
      </c>
      <c r="H283" s="2">
        <v>43245</v>
      </c>
      <c r="I283">
        <v>259</v>
      </c>
      <c r="J283" t="s">
        <v>572</v>
      </c>
      <c r="K283" t="s">
        <v>573</v>
      </c>
      <c r="L283" t="s">
        <v>78</v>
      </c>
      <c r="M283" t="s">
        <v>34</v>
      </c>
      <c r="N283" t="s">
        <v>35</v>
      </c>
      <c r="O283" t="s">
        <v>36</v>
      </c>
      <c r="P283">
        <v>95</v>
      </c>
      <c r="Q283">
        <v>1000</v>
      </c>
      <c r="R283">
        <v>500</v>
      </c>
      <c r="S283">
        <v>225</v>
      </c>
      <c r="T283">
        <v>150</v>
      </c>
      <c r="U283">
        <v>1250</v>
      </c>
      <c r="V283">
        <v>1875</v>
      </c>
      <c r="W283">
        <v>-0.33333333333333343</v>
      </c>
      <c r="X283">
        <v>-625</v>
      </c>
      <c r="Y283" t="s">
        <v>37</v>
      </c>
      <c r="Z283" s="2">
        <v>42887</v>
      </c>
      <c r="AA283">
        <v>22</v>
      </c>
      <c r="AB283" t="s">
        <v>593</v>
      </c>
      <c r="AC283" t="s">
        <v>594</v>
      </c>
      <c r="AD283" t="s">
        <v>52</v>
      </c>
      <c r="AE283" t="str">
        <f t="shared" si="4"/>
        <v>Friday</v>
      </c>
      <c r="AF283" s="12">
        <f>Table1[[#This Row],[Total Cost]]+Table1[[#This Row],[PROFIT]]</f>
        <v>1250</v>
      </c>
    </row>
    <row r="284" spans="1:32" x14ac:dyDescent="0.3">
      <c r="A284">
        <v>283</v>
      </c>
      <c r="B284">
        <v>260</v>
      </c>
      <c r="C284">
        <v>1</v>
      </c>
      <c r="D284" t="s">
        <v>595</v>
      </c>
      <c r="E284">
        <v>6590</v>
      </c>
      <c r="F284">
        <v>750</v>
      </c>
      <c r="G284">
        <v>66</v>
      </c>
      <c r="H284" s="2">
        <v>43245</v>
      </c>
      <c r="I284">
        <v>260</v>
      </c>
      <c r="J284" t="s">
        <v>588</v>
      </c>
      <c r="K284" t="s">
        <v>589</v>
      </c>
      <c r="L284" t="s">
        <v>95</v>
      </c>
      <c r="M284" t="s">
        <v>34</v>
      </c>
      <c r="N284" t="s">
        <v>35</v>
      </c>
      <c r="O284" t="s">
        <v>36</v>
      </c>
      <c r="P284">
        <v>86</v>
      </c>
      <c r="Q284">
        <v>5272</v>
      </c>
      <c r="R284">
        <v>500</v>
      </c>
      <c r="S284">
        <v>750</v>
      </c>
      <c r="T284">
        <v>150</v>
      </c>
      <c r="U284">
        <v>6590</v>
      </c>
      <c r="V284">
        <v>6672</v>
      </c>
      <c r="W284">
        <v>-1.229016786570747E-2</v>
      </c>
      <c r="X284">
        <v>-82</v>
      </c>
      <c r="Y284" t="s">
        <v>244</v>
      </c>
      <c r="Z284" s="2">
        <v>42894</v>
      </c>
      <c r="AA284">
        <v>21</v>
      </c>
      <c r="AB284" t="s">
        <v>133</v>
      </c>
      <c r="AC284" t="s">
        <v>134</v>
      </c>
      <c r="AD284" t="s">
        <v>71</v>
      </c>
      <c r="AE284" t="str">
        <f t="shared" si="4"/>
        <v>Friday</v>
      </c>
      <c r="AF284" s="12">
        <f>Table1[[#This Row],[Total Cost]]+Table1[[#This Row],[PROFIT]]</f>
        <v>6590</v>
      </c>
    </row>
    <row r="285" spans="1:32" x14ac:dyDescent="0.3">
      <c r="A285">
        <v>284</v>
      </c>
      <c r="B285">
        <v>261</v>
      </c>
      <c r="C285">
        <v>1</v>
      </c>
      <c r="D285" t="s">
        <v>596</v>
      </c>
      <c r="E285">
        <v>89500</v>
      </c>
      <c r="F285">
        <v>2266.5966386554619</v>
      </c>
      <c r="G285">
        <v>35</v>
      </c>
      <c r="H285" s="2">
        <v>43245</v>
      </c>
      <c r="I285">
        <v>261</v>
      </c>
      <c r="J285" t="s">
        <v>270</v>
      </c>
      <c r="K285" t="s">
        <v>271</v>
      </c>
      <c r="L285" t="s">
        <v>84</v>
      </c>
      <c r="M285" t="s">
        <v>64</v>
      </c>
      <c r="N285" t="s">
        <v>65</v>
      </c>
      <c r="O285" t="s">
        <v>36</v>
      </c>
      <c r="P285">
        <v>14</v>
      </c>
      <c r="Q285">
        <v>71600</v>
      </c>
      <c r="R285">
        <v>1490</v>
      </c>
      <c r="S285">
        <v>750</v>
      </c>
      <c r="T285">
        <v>750</v>
      </c>
      <c r="U285">
        <v>89500</v>
      </c>
      <c r="V285">
        <v>74590</v>
      </c>
      <c r="W285">
        <v>0.19989274701702639</v>
      </c>
      <c r="X285">
        <v>14910</v>
      </c>
      <c r="Y285" t="s">
        <v>73</v>
      </c>
      <c r="Z285" s="2">
        <v>43221</v>
      </c>
      <c r="AA285">
        <v>2</v>
      </c>
      <c r="AB285" t="s">
        <v>225</v>
      </c>
      <c r="AC285" t="s">
        <v>51</v>
      </c>
      <c r="AD285" t="s">
        <v>52</v>
      </c>
      <c r="AE285" t="str">
        <f t="shared" si="4"/>
        <v>Friday</v>
      </c>
      <c r="AF285" s="12">
        <f>Table1[[#This Row],[Total Cost]]+Table1[[#This Row],[PROFIT]]</f>
        <v>89500</v>
      </c>
    </row>
    <row r="286" spans="1:32" x14ac:dyDescent="0.3">
      <c r="A286">
        <v>285</v>
      </c>
      <c r="B286">
        <v>262</v>
      </c>
      <c r="C286">
        <v>1</v>
      </c>
      <c r="D286" t="s">
        <v>597</v>
      </c>
      <c r="E286">
        <v>18500</v>
      </c>
      <c r="F286">
        <v>2266.5966386554619</v>
      </c>
      <c r="G286">
        <v>31</v>
      </c>
      <c r="H286" s="2">
        <v>43245</v>
      </c>
      <c r="I286">
        <v>262</v>
      </c>
      <c r="J286" t="s">
        <v>227</v>
      </c>
      <c r="K286" t="s">
        <v>228</v>
      </c>
      <c r="L286" t="s">
        <v>78</v>
      </c>
      <c r="M286" t="s">
        <v>34</v>
      </c>
      <c r="N286" t="s">
        <v>35</v>
      </c>
      <c r="O286" t="s">
        <v>36</v>
      </c>
      <c r="P286">
        <v>54</v>
      </c>
      <c r="Q286">
        <v>14800</v>
      </c>
      <c r="R286">
        <v>500</v>
      </c>
      <c r="S286">
        <v>750</v>
      </c>
      <c r="T286">
        <v>150</v>
      </c>
      <c r="U286">
        <v>18500</v>
      </c>
      <c r="V286">
        <v>16200</v>
      </c>
      <c r="W286">
        <v>0.1419753086419753</v>
      </c>
      <c r="X286">
        <v>2300</v>
      </c>
      <c r="Y286" t="s">
        <v>44</v>
      </c>
      <c r="Z286" s="2">
        <v>43221</v>
      </c>
      <c r="AA286">
        <v>9</v>
      </c>
      <c r="AB286" t="s">
        <v>348</v>
      </c>
      <c r="AC286" t="s">
        <v>117</v>
      </c>
      <c r="AD286" t="s">
        <v>40</v>
      </c>
      <c r="AE286" t="str">
        <f t="shared" si="4"/>
        <v>Friday</v>
      </c>
      <c r="AF286" s="12">
        <f>Table1[[#This Row],[Total Cost]]+Table1[[#This Row],[PROFIT]]</f>
        <v>18500</v>
      </c>
    </row>
    <row r="287" spans="1:32" x14ac:dyDescent="0.3">
      <c r="A287">
        <v>286</v>
      </c>
      <c r="B287">
        <v>263</v>
      </c>
      <c r="C287">
        <v>1</v>
      </c>
      <c r="D287" t="s">
        <v>598</v>
      </c>
      <c r="E287">
        <v>3575</v>
      </c>
      <c r="F287">
        <v>750</v>
      </c>
      <c r="G287">
        <v>24</v>
      </c>
      <c r="H287" s="2">
        <v>43254</v>
      </c>
      <c r="I287">
        <v>263</v>
      </c>
      <c r="J287" t="s">
        <v>183</v>
      </c>
      <c r="K287" t="s">
        <v>184</v>
      </c>
      <c r="L287" t="s">
        <v>185</v>
      </c>
      <c r="M287" t="s">
        <v>154</v>
      </c>
      <c r="N287" t="s">
        <v>155</v>
      </c>
      <c r="O287" t="s">
        <v>36</v>
      </c>
      <c r="P287">
        <v>53</v>
      </c>
      <c r="Q287">
        <v>2860</v>
      </c>
      <c r="R287">
        <v>500</v>
      </c>
      <c r="S287">
        <v>750</v>
      </c>
      <c r="T287">
        <v>150</v>
      </c>
      <c r="U287">
        <v>3575</v>
      </c>
      <c r="V287">
        <v>4260</v>
      </c>
      <c r="W287">
        <v>-0.16079812206572769</v>
      </c>
      <c r="X287">
        <v>-685</v>
      </c>
      <c r="Y287" t="s">
        <v>73</v>
      </c>
      <c r="Z287" s="2">
        <v>43252</v>
      </c>
      <c r="AA287">
        <v>9</v>
      </c>
      <c r="AB287" t="s">
        <v>562</v>
      </c>
      <c r="AC287" t="s">
        <v>117</v>
      </c>
      <c r="AD287" t="s">
        <v>40</v>
      </c>
      <c r="AE287" t="str">
        <f t="shared" si="4"/>
        <v>Sunday</v>
      </c>
      <c r="AF287" s="12">
        <f>Table1[[#This Row],[Total Cost]]+Table1[[#This Row],[PROFIT]]</f>
        <v>3575</v>
      </c>
    </row>
    <row r="288" spans="1:32" x14ac:dyDescent="0.3">
      <c r="A288">
        <v>287</v>
      </c>
      <c r="B288">
        <v>264</v>
      </c>
      <c r="C288">
        <v>1</v>
      </c>
      <c r="D288" t="s">
        <v>599</v>
      </c>
      <c r="E288">
        <v>6950</v>
      </c>
      <c r="F288">
        <v>2266.5966386554619</v>
      </c>
      <c r="G288">
        <v>67</v>
      </c>
      <c r="H288" s="2">
        <v>43254</v>
      </c>
      <c r="I288">
        <v>264</v>
      </c>
      <c r="J288" t="s">
        <v>600</v>
      </c>
      <c r="K288" t="s">
        <v>601</v>
      </c>
      <c r="L288" t="s">
        <v>265</v>
      </c>
      <c r="M288" t="s">
        <v>266</v>
      </c>
      <c r="N288" t="s">
        <v>267</v>
      </c>
      <c r="O288" t="s">
        <v>36</v>
      </c>
      <c r="P288">
        <v>86</v>
      </c>
      <c r="Q288">
        <v>5560</v>
      </c>
      <c r="R288">
        <v>500</v>
      </c>
      <c r="S288">
        <v>457</v>
      </c>
      <c r="T288">
        <v>150</v>
      </c>
      <c r="U288">
        <v>6950</v>
      </c>
      <c r="V288">
        <v>6667</v>
      </c>
      <c r="W288">
        <v>4.2447877606119677E-2</v>
      </c>
      <c r="X288">
        <v>283</v>
      </c>
      <c r="Y288" t="s">
        <v>37</v>
      </c>
      <c r="Z288" s="2">
        <v>43252</v>
      </c>
      <c r="AA288">
        <v>21</v>
      </c>
      <c r="AB288" t="s">
        <v>133</v>
      </c>
      <c r="AC288" t="s">
        <v>134</v>
      </c>
      <c r="AD288" t="s">
        <v>71</v>
      </c>
      <c r="AE288" t="str">
        <f t="shared" si="4"/>
        <v>Sunday</v>
      </c>
      <c r="AF288" s="12">
        <f>Table1[[#This Row],[Total Cost]]+Table1[[#This Row],[PROFIT]]</f>
        <v>6950</v>
      </c>
    </row>
    <row r="289" spans="1:32" x14ac:dyDescent="0.3">
      <c r="A289">
        <v>288</v>
      </c>
      <c r="B289">
        <v>265</v>
      </c>
      <c r="C289">
        <v>1</v>
      </c>
      <c r="D289" t="s">
        <v>602</v>
      </c>
      <c r="E289">
        <v>26500</v>
      </c>
      <c r="F289">
        <v>2266.5966386554619</v>
      </c>
      <c r="G289">
        <v>2</v>
      </c>
      <c r="H289" s="2">
        <v>43267</v>
      </c>
      <c r="I289">
        <v>265</v>
      </c>
      <c r="J289" t="s">
        <v>42</v>
      </c>
      <c r="K289" t="s">
        <v>43</v>
      </c>
      <c r="L289" t="s">
        <v>33</v>
      </c>
      <c r="M289" t="s">
        <v>34</v>
      </c>
      <c r="N289" t="s">
        <v>35</v>
      </c>
      <c r="O289" t="s">
        <v>36</v>
      </c>
      <c r="P289">
        <v>75</v>
      </c>
      <c r="Q289">
        <v>21200</v>
      </c>
      <c r="R289">
        <v>500</v>
      </c>
      <c r="S289">
        <v>750</v>
      </c>
      <c r="T289">
        <v>150</v>
      </c>
      <c r="U289">
        <v>26500</v>
      </c>
      <c r="V289">
        <v>22600</v>
      </c>
      <c r="W289">
        <v>0.17256637168141589</v>
      </c>
      <c r="X289">
        <v>3900</v>
      </c>
      <c r="Y289" t="s">
        <v>68</v>
      </c>
      <c r="Z289" s="2">
        <v>43252</v>
      </c>
      <c r="AA289">
        <v>16</v>
      </c>
      <c r="AB289" t="s">
        <v>121</v>
      </c>
      <c r="AC289" t="s">
        <v>122</v>
      </c>
      <c r="AD289" t="s">
        <v>71</v>
      </c>
      <c r="AE289" t="str">
        <f t="shared" si="4"/>
        <v>Saturday</v>
      </c>
      <c r="AF289" s="12">
        <f>Table1[[#This Row],[Total Cost]]+Table1[[#This Row],[PROFIT]]</f>
        <v>26500</v>
      </c>
    </row>
    <row r="290" spans="1:32" x14ac:dyDescent="0.3">
      <c r="A290">
        <v>289</v>
      </c>
      <c r="B290">
        <v>266</v>
      </c>
      <c r="C290">
        <v>1</v>
      </c>
      <c r="D290" t="s">
        <v>603</v>
      </c>
      <c r="E290">
        <v>33500</v>
      </c>
      <c r="F290">
        <v>2266.5966386554619</v>
      </c>
      <c r="G290">
        <v>68</v>
      </c>
      <c r="H290" s="2">
        <v>43269</v>
      </c>
      <c r="I290">
        <v>266</v>
      </c>
      <c r="J290" t="s">
        <v>604</v>
      </c>
      <c r="K290" t="s">
        <v>605</v>
      </c>
      <c r="L290" t="s">
        <v>132</v>
      </c>
      <c r="M290" t="s">
        <v>89</v>
      </c>
      <c r="N290" t="s">
        <v>90</v>
      </c>
      <c r="O290" t="s">
        <v>91</v>
      </c>
      <c r="P290">
        <v>71</v>
      </c>
      <c r="Q290">
        <v>26800</v>
      </c>
      <c r="R290">
        <v>2000</v>
      </c>
      <c r="S290">
        <v>750</v>
      </c>
      <c r="T290">
        <v>550</v>
      </c>
      <c r="U290">
        <v>33500</v>
      </c>
      <c r="V290">
        <v>30100</v>
      </c>
      <c r="W290">
        <v>0.1129568106312293</v>
      </c>
      <c r="X290">
        <v>3400</v>
      </c>
      <c r="Y290" t="s">
        <v>73</v>
      </c>
      <c r="Z290" s="2">
        <v>43252</v>
      </c>
      <c r="AA290">
        <v>16</v>
      </c>
      <c r="AB290" t="s">
        <v>606</v>
      </c>
      <c r="AC290" t="s">
        <v>122</v>
      </c>
      <c r="AD290" t="s">
        <v>71</v>
      </c>
      <c r="AE290" t="str">
        <f t="shared" si="4"/>
        <v>Monday</v>
      </c>
      <c r="AF290" s="12">
        <f>Table1[[#This Row],[Total Cost]]+Table1[[#This Row],[PROFIT]]</f>
        <v>33500</v>
      </c>
    </row>
    <row r="291" spans="1:32" x14ac:dyDescent="0.3">
      <c r="A291">
        <v>290</v>
      </c>
      <c r="B291">
        <v>267</v>
      </c>
      <c r="C291">
        <v>1</v>
      </c>
      <c r="D291" t="s">
        <v>607</v>
      </c>
      <c r="E291">
        <v>24500</v>
      </c>
      <c r="F291">
        <v>2266.5966386554619</v>
      </c>
      <c r="G291">
        <v>12</v>
      </c>
      <c r="H291" s="2">
        <v>43273</v>
      </c>
      <c r="I291">
        <v>267</v>
      </c>
      <c r="J291" t="s">
        <v>105</v>
      </c>
      <c r="K291" t="s">
        <v>106</v>
      </c>
      <c r="L291" t="s">
        <v>95</v>
      </c>
      <c r="M291" t="s">
        <v>34</v>
      </c>
      <c r="N291" t="s">
        <v>35</v>
      </c>
      <c r="O291" t="s">
        <v>36</v>
      </c>
      <c r="P291">
        <v>72</v>
      </c>
      <c r="Q291">
        <v>19600</v>
      </c>
      <c r="R291">
        <v>1360</v>
      </c>
      <c r="S291">
        <v>750</v>
      </c>
      <c r="T291">
        <v>150</v>
      </c>
      <c r="U291">
        <v>24500</v>
      </c>
      <c r="V291">
        <v>21860</v>
      </c>
      <c r="W291">
        <v>0.1207685269899359</v>
      </c>
      <c r="X291">
        <v>2640</v>
      </c>
      <c r="Y291" t="s">
        <v>49</v>
      </c>
      <c r="Z291" s="2">
        <v>43252</v>
      </c>
      <c r="AA291">
        <v>16</v>
      </c>
      <c r="AB291" t="s">
        <v>608</v>
      </c>
      <c r="AC291" t="s">
        <v>122</v>
      </c>
      <c r="AD291" t="s">
        <v>71</v>
      </c>
      <c r="AE291" t="str">
        <f t="shared" si="4"/>
        <v>Friday</v>
      </c>
      <c r="AF291" s="12">
        <f>Table1[[#This Row],[Total Cost]]+Table1[[#This Row],[PROFIT]]</f>
        <v>24500</v>
      </c>
    </row>
    <row r="292" spans="1:32" x14ac:dyDescent="0.3">
      <c r="A292">
        <v>291</v>
      </c>
      <c r="B292">
        <v>268</v>
      </c>
      <c r="C292">
        <v>1</v>
      </c>
      <c r="D292" t="s">
        <v>609</v>
      </c>
      <c r="E292">
        <v>99500</v>
      </c>
      <c r="F292">
        <v>500</v>
      </c>
      <c r="G292">
        <v>25</v>
      </c>
      <c r="H292" s="2">
        <v>43274</v>
      </c>
      <c r="I292">
        <v>268</v>
      </c>
      <c r="J292" t="s">
        <v>188</v>
      </c>
      <c r="K292" t="s">
        <v>189</v>
      </c>
      <c r="L292" t="s">
        <v>190</v>
      </c>
      <c r="M292" t="s">
        <v>34</v>
      </c>
      <c r="N292" t="s">
        <v>35</v>
      </c>
      <c r="O292" t="s">
        <v>36</v>
      </c>
      <c r="P292">
        <v>31</v>
      </c>
      <c r="Q292">
        <v>79600</v>
      </c>
      <c r="R292">
        <v>500</v>
      </c>
      <c r="S292">
        <v>1050</v>
      </c>
      <c r="T292">
        <v>750</v>
      </c>
      <c r="U292">
        <v>99500</v>
      </c>
      <c r="V292">
        <v>81900</v>
      </c>
      <c r="W292">
        <v>0.2148962148962148</v>
      </c>
      <c r="X292">
        <v>17600</v>
      </c>
      <c r="Y292" t="s">
        <v>68</v>
      </c>
      <c r="Z292" s="2">
        <v>43252</v>
      </c>
      <c r="AA292">
        <v>5</v>
      </c>
      <c r="AB292" t="s">
        <v>169</v>
      </c>
      <c r="AC292" t="s">
        <v>98</v>
      </c>
      <c r="AD292" t="s">
        <v>71</v>
      </c>
      <c r="AE292" t="str">
        <f t="shared" si="4"/>
        <v>Saturday</v>
      </c>
      <c r="AF292" s="12">
        <f>Table1[[#This Row],[Total Cost]]+Table1[[#This Row],[PROFIT]]</f>
        <v>99500</v>
      </c>
    </row>
    <row r="293" spans="1:32" x14ac:dyDescent="0.3">
      <c r="A293">
        <v>292</v>
      </c>
      <c r="B293">
        <v>269</v>
      </c>
      <c r="C293">
        <v>1</v>
      </c>
      <c r="D293" t="s">
        <v>610</v>
      </c>
      <c r="E293">
        <v>99990</v>
      </c>
      <c r="F293">
        <v>2266.5966386554619</v>
      </c>
      <c r="G293">
        <v>38</v>
      </c>
      <c r="H293" s="2">
        <v>43286</v>
      </c>
      <c r="I293">
        <v>269</v>
      </c>
      <c r="J293" t="s">
        <v>305</v>
      </c>
      <c r="K293" t="s">
        <v>306</v>
      </c>
      <c r="L293" t="s">
        <v>95</v>
      </c>
      <c r="M293" t="s">
        <v>34</v>
      </c>
      <c r="N293" t="s">
        <v>35</v>
      </c>
      <c r="O293" t="s">
        <v>36</v>
      </c>
      <c r="P293">
        <v>21</v>
      </c>
      <c r="Q293">
        <v>79992</v>
      </c>
      <c r="R293">
        <v>2000</v>
      </c>
      <c r="S293">
        <v>750</v>
      </c>
      <c r="T293">
        <v>750</v>
      </c>
      <c r="U293">
        <v>99990</v>
      </c>
      <c r="V293">
        <v>83492</v>
      </c>
      <c r="W293">
        <v>0.19759977003784801</v>
      </c>
      <c r="X293">
        <v>16498</v>
      </c>
      <c r="Y293" t="s">
        <v>126</v>
      </c>
      <c r="Z293" s="2">
        <v>43282</v>
      </c>
      <c r="AA293">
        <v>4</v>
      </c>
      <c r="AB293" t="s">
        <v>398</v>
      </c>
      <c r="AC293" t="s">
        <v>70</v>
      </c>
      <c r="AD293" t="s">
        <v>71</v>
      </c>
      <c r="AE293" t="str">
        <f t="shared" si="4"/>
        <v>Thursday</v>
      </c>
      <c r="AF293" s="12">
        <f>Table1[[#This Row],[Total Cost]]+Table1[[#This Row],[PROFIT]]</f>
        <v>99990</v>
      </c>
    </row>
    <row r="294" spans="1:32" x14ac:dyDescent="0.3">
      <c r="A294">
        <v>293</v>
      </c>
      <c r="B294">
        <v>270</v>
      </c>
      <c r="C294">
        <v>1</v>
      </c>
      <c r="D294" t="s">
        <v>611</v>
      </c>
      <c r="E294">
        <v>6950</v>
      </c>
      <c r="F294">
        <v>1250</v>
      </c>
      <c r="G294">
        <v>69</v>
      </c>
      <c r="H294" s="2">
        <v>43291</v>
      </c>
      <c r="I294">
        <v>270</v>
      </c>
      <c r="J294" t="s">
        <v>612</v>
      </c>
      <c r="K294" t="s">
        <v>613</v>
      </c>
      <c r="L294" t="s">
        <v>95</v>
      </c>
      <c r="M294" t="s">
        <v>34</v>
      </c>
      <c r="N294" t="s">
        <v>35</v>
      </c>
      <c r="O294" t="s">
        <v>36</v>
      </c>
      <c r="P294">
        <v>51</v>
      </c>
      <c r="Q294">
        <v>5560</v>
      </c>
      <c r="R294">
        <v>500</v>
      </c>
      <c r="S294">
        <v>1050</v>
      </c>
      <c r="T294">
        <v>150</v>
      </c>
      <c r="U294">
        <v>6950</v>
      </c>
      <c r="V294">
        <v>7260</v>
      </c>
      <c r="W294">
        <v>-4.2699724517906379E-2</v>
      </c>
      <c r="X294">
        <v>-310</v>
      </c>
      <c r="Y294" t="s">
        <v>73</v>
      </c>
      <c r="Z294" s="2">
        <v>43282</v>
      </c>
      <c r="AA294">
        <v>9</v>
      </c>
      <c r="AB294" t="s">
        <v>116</v>
      </c>
      <c r="AC294" t="s">
        <v>117</v>
      </c>
      <c r="AD294" t="s">
        <v>40</v>
      </c>
      <c r="AE294" t="str">
        <f t="shared" si="4"/>
        <v>Tuesday</v>
      </c>
      <c r="AF294" s="12">
        <f>Table1[[#This Row],[Total Cost]]+Table1[[#This Row],[PROFIT]]</f>
        <v>6950</v>
      </c>
    </row>
    <row r="295" spans="1:32" x14ac:dyDescent="0.3">
      <c r="A295">
        <v>294</v>
      </c>
      <c r="B295">
        <v>271</v>
      </c>
      <c r="C295">
        <v>1</v>
      </c>
      <c r="D295" t="s">
        <v>614</v>
      </c>
      <c r="E295">
        <v>10500</v>
      </c>
      <c r="F295">
        <v>1500</v>
      </c>
      <c r="G295">
        <v>70</v>
      </c>
      <c r="H295" s="2">
        <v>43296</v>
      </c>
      <c r="I295">
        <v>271</v>
      </c>
      <c r="J295" t="s">
        <v>615</v>
      </c>
      <c r="K295" t="s">
        <v>616</v>
      </c>
      <c r="L295" t="s">
        <v>95</v>
      </c>
      <c r="M295" t="s">
        <v>34</v>
      </c>
      <c r="N295" t="s">
        <v>35</v>
      </c>
      <c r="O295" t="s">
        <v>36</v>
      </c>
      <c r="P295">
        <v>54</v>
      </c>
      <c r="Q295">
        <v>8400</v>
      </c>
      <c r="R295">
        <v>500</v>
      </c>
      <c r="S295">
        <v>750</v>
      </c>
      <c r="T295">
        <v>150</v>
      </c>
      <c r="U295">
        <v>10500</v>
      </c>
      <c r="V295">
        <v>9800</v>
      </c>
      <c r="W295">
        <v>7.1428571428571397E-2</v>
      </c>
      <c r="X295">
        <v>700</v>
      </c>
      <c r="Y295" t="s">
        <v>73</v>
      </c>
      <c r="Z295" s="2">
        <v>43282</v>
      </c>
      <c r="AA295">
        <v>9</v>
      </c>
      <c r="AB295" t="s">
        <v>348</v>
      </c>
      <c r="AC295" t="s">
        <v>117</v>
      </c>
      <c r="AD295" t="s">
        <v>40</v>
      </c>
      <c r="AE295" t="str">
        <f t="shared" si="4"/>
        <v>Sunday</v>
      </c>
      <c r="AF295" s="12">
        <f>Table1[[#This Row],[Total Cost]]+Table1[[#This Row],[PROFIT]]</f>
        <v>10500</v>
      </c>
    </row>
    <row r="296" spans="1:32" x14ac:dyDescent="0.3">
      <c r="A296">
        <v>295</v>
      </c>
      <c r="B296">
        <v>272</v>
      </c>
      <c r="C296">
        <v>1</v>
      </c>
      <c r="D296" t="s">
        <v>617</v>
      </c>
      <c r="E296">
        <v>33450</v>
      </c>
      <c r="F296">
        <v>2266.5966386554619</v>
      </c>
      <c r="G296">
        <v>62</v>
      </c>
      <c r="H296" s="2">
        <v>43306</v>
      </c>
      <c r="I296">
        <v>272</v>
      </c>
      <c r="J296" t="s">
        <v>572</v>
      </c>
      <c r="K296" t="s">
        <v>573</v>
      </c>
      <c r="L296" t="s">
        <v>78</v>
      </c>
      <c r="M296" t="s">
        <v>34</v>
      </c>
      <c r="N296" t="s">
        <v>35</v>
      </c>
      <c r="O296" t="s">
        <v>36</v>
      </c>
      <c r="P296">
        <v>45</v>
      </c>
      <c r="Q296">
        <v>26760</v>
      </c>
      <c r="R296">
        <v>1360</v>
      </c>
      <c r="S296">
        <v>750</v>
      </c>
      <c r="T296">
        <v>550</v>
      </c>
      <c r="U296">
        <v>33450</v>
      </c>
      <c r="V296">
        <v>29420</v>
      </c>
      <c r="W296">
        <v>0.13698164513936109</v>
      </c>
      <c r="X296">
        <v>4030</v>
      </c>
      <c r="Y296" t="s">
        <v>73</v>
      </c>
      <c r="Z296" s="2">
        <v>43282</v>
      </c>
      <c r="AA296">
        <v>8</v>
      </c>
      <c r="AB296" t="s">
        <v>111</v>
      </c>
      <c r="AC296" t="s">
        <v>112</v>
      </c>
      <c r="AD296" t="s">
        <v>52</v>
      </c>
      <c r="AE296" t="str">
        <f t="shared" si="4"/>
        <v>Wednesday</v>
      </c>
      <c r="AF296" s="12">
        <f>Table1[[#This Row],[Total Cost]]+Table1[[#This Row],[PROFIT]]</f>
        <v>33450</v>
      </c>
    </row>
    <row r="297" spans="1:32" x14ac:dyDescent="0.3">
      <c r="A297">
        <v>296</v>
      </c>
      <c r="B297">
        <v>273</v>
      </c>
      <c r="C297">
        <v>1</v>
      </c>
      <c r="D297" t="s">
        <v>618</v>
      </c>
      <c r="E297">
        <v>72500</v>
      </c>
      <c r="F297">
        <v>2266.5966386554619</v>
      </c>
      <c r="G297">
        <v>54</v>
      </c>
      <c r="H297" s="2">
        <v>43306</v>
      </c>
      <c r="I297">
        <v>273</v>
      </c>
      <c r="J297" t="s">
        <v>510</v>
      </c>
      <c r="K297" t="s">
        <v>511</v>
      </c>
      <c r="L297" t="s">
        <v>142</v>
      </c>
      <c r="M297" t="s">
        <v>34</v>
      </c>
      <c r="N297" t="s">
        <v>35</v>
      </c>
      <c r="O297" t="s">
        <v>36</v>
      </c>
      <c r="P297">
        <v>26</v>
      </c>
      <c r="Q297">
        <v>58000</v>
      </c>
      <c r="R297">
        <v>2175</v>
      </c>
      <c r="S297">
        <v>1500</v>
      </c>
      <c r="T297">
        <v>750</v>
      </c>
      <c r="U297">
        <v>72500</v>
      </c>
      <c r="V297">
        <v>62425</v>
      </c>
      <c r="W297">
        <v>0.16139367240688829</v>
      </c>
      <c r="X297">
        <v>10075</v>
      </c>
      <c r="Y297" t="s">
        <v>68</v>
      </c>
      <c r="Z297" s="2">
        <v>43306</v>
      </c>
      <c r="AA297">
        <v>4</v>
      </c>
      <c r="AB297" t="s">
        <v>147</v>
      </c>
      <c r="AC297" t="s">
        <v>70</v>
      </c>
      <c r="AD297" t="s">
        <v>71</v>
      </c>
      <c r="AE297" t="str">
        <f t="shared" si="4"/>
        <v>Wednesday</v>
      </c>
      <c r="AF297" s="12">
        <f>Table1[[#This Row],[Total Cost]]+Table1[[#This Row],[PROFIT]]</f>
        <v>72500</v>
      </c>
    </row>
    <row r="298" spans="1:32" x14ac:dyDescent="0.3">
      <c r="A298">
        <v>297</v>
      </c>
      <c r="B298">
        <v>274</v>
      </c>
      <c r="C298">
        <v>1</v>
      </c>
      <c r="D298" t="s">
        <v>619</v>
      </c>
      <c r="E298">
        <v>2400</v>
      </c>
      <c r="F298">
        <v>2266.5966386554619</v>
      </c>
      <c r="G298">
        <v>71</v>
      </c>
      <c r="H298" s="2">
        <v>43311</v>
      </c>
      <c r="I298">
        <v>274</v>
      </c>
      <c r="J298" t="s">
        <v>620</v>
      </c>
      <c r="K298" t="s">
        <v>621</v>
      </c>
      <c r="L298" t="s">
        <v>95</v>
      </c>
      <c r="M298" t="s">
        <v>34</v>
      </c>
      <c r="N298" t="s">
        <v>35</v>
      </c>
      <c r="O298" t="s">
        <v>36</v>
      </c>
      <c r="P298">
        <v>98</v>
      </c>
      <c r="Q298">
        <v>1920</v>
      </c>
      <c r="R298">
        <v>500</v>
      </c>
      <c r="S298">
        <v>750</v>
      </c>
      <c r="T298">
        <v>150</v>
      </c>
      <c r="U298">
        <v>2400</v>
      </c>
      <c r="V298">
        <v>3320</v>
      </c>
      <c r="W298">
        <v>-0.27710843373493982</v>
      </c>
      <c r="X298">
        <v>-920</v>
      </c>
      <c r="Y298" t="s">
        <v>79</v>
      </c>
      <c r="Z298" s="2">
        <v>43306</v>
      </c>
      <c r="AA298">
        <v>23</v>
      </c>
      <c r="AB298" t="s">
        <v>356</v>
      </c>
      <c r="AC298" t="s">
        <v>336</v>
      </c>
      <c r="AD298" t="s">
        <v>52</v>
      </c>
      <c r="AE298" t="str">
        <f t="shared" si="4"/>
        <v>Monday</v>
      </c>
      <c r="AF298" s="12">
        <f>Table1[[#This Row],[Total Cost]]+Table1[[#This Row],[PROFIT]]</f>
        <v>2400</v>
      </c>
    </row>
    <row r="299" spans="1:32" x14ac:dyDescent="0.3">
      <c r="A299">
        <v>298</v>
      </c>
      <c r="B299">
        <v>275</v>
      </c>
      <c r="C299">
        <v>1</v>
      </c>
      <c r="D299" t="s">
        <v>622</v>
      </c>
      <c r="E299">
        <v>68500</v>
      </c>
      <c r="F299">
        <v>2450</v>
      </c>
      <c r="G299">
        <v>72</v>
      </c>
      <c r="H299" s="2">
        <v>43311</v>
      </c>
      <c r="I299">
        <v>275</v>
      </c>
      <c r="J299" t="s">
        <v>623</v>
      </c>
      <c r="K299" t="s">
        <v>624</v>
      </c>
      <c r="L299" t="s">
        <v>95</v>
      </c>
      <c r="M299" t="s">
        <v>34</v>
      </c>
      <c r="N299" t="s">
        <v>35</v>
      </c>
      <c r="O299" t="s">
        <v>36</v>
      </c>
      <c r="P299">
        <v>74</v>
      </c>
      <c r="Q299">
        <v>54800</v>
      </c>
      <c r="R299">
        <v>500</v>
      </c>
      <c r="S299">
        <v>1500</v>
      </c>
      <c r="T299">
        <v>750</v>
      </c>
      <c r="U299">
        <v>68500</v>
      </c>
      <c r="V299">
        <v>57550</v>
      </c>
      <c r="W299">
        <v>0.19026933101650731</v>
      </c>
      <c r="X299">
        <v>10950</v>
      </c>
      <c r="Y299" t="s">
        <v>244</v>
      </c>
      <c r="Z299" s="2">
        <v>43306</v>
      </c>
      <c r="AA299">
        <v>16</v>
      </c>
      <c r="AB299" t="s">
        <v>144</v>
      </c>
      <c r="AC299" t="s">
        <v>122</v>
      </c>
      <c r="AD299" t="s">
        <v>71</v>
      </c>
      <c r="AE299" t="str">
        <f t="shared" si="4"/>
        <v>Monday</v>
      </c>
      <c r="AF299" s="12">
        <f>Table1[[#This Row],[Total Cost]]+Table1[[#This Row],[PROFIT]]</f>
        <v>68500</v>
      </c>
    </row>
    <row r="300" spans="1:32" x14ac:dyDescent="0.3">
      <c r="A300">
        <v>299</v>
      </c>
      <c r="B300">
        <v>276</v>
      </c>
      <c r="C300">
        <v>1</v>
      </c>
      <c r="D300" t="s">
        <v>625</v>
      </c>
      <c r="E300">
        <v>2350</v>
      </c>
      <c r="F300">
        <v>2266.5966386554619</v>
      </c>
      <c r="G300">
        <v>6</v>
      </c>
      <c r="H300" s="2">
        <v>43311</v>
      </c>
      <c r="I300">
        <v>276</v>
      </c>
      <c r="J300" t="s">
        <v>151</v>
      </c>
      <c r="K300" t="s">
        <v>152</v>
      </c>
      <c r="L300" t="s">
        <v>153</v>
      </c>
      <c r="M300" t="s">
        <v>154</v>
      </c>
      <c r="N300" t="s">
        <v>155</v>
      </c>
      <c r="O300" t="s">
        <v>36</v>
      </c>
      <c r="P300">
        <v>98</v>
      </c>
      <c r="Q300">
        <v>1880</v>
      </c>
      <c r="R300">
        <v>500</v>
      </c>
      <c r="S300">
        <v>750</v>
      </c>
      <c r="T300">
        <v>150</v>
      </c>
      <c r="U300">
        <v>2350</v>
      </c>
      <c r="V300">
        <v>3280</v>
      </c>
      <c r="W300">
        <v>-0.28353658536585369</v>
      </c>
      <c r="X300">
        <v>-930</v>
      </c>
      <c r="Y300" t="s">
        <v>49</v>
      </c>
      <c r="Z300" s="2">
        <v>43306</v>
      </c>
      <c r="AA300">
        <v>23</v>
      </c>
      <c r="AB300" t="s">
        <v>356</v>
      </c>
      <c r="AC300" t="s">
        <v>336</v>
      </c>
      <c r="AD300" t="s">
        <v>52</v>
      </c>
      <c r="AE300" t="str">
        <f t="shared" si="4"/>
        <v>Monday</v>
      </c>
      <c r="AF300" s="12">
        <f>Table1[[#This Row],[Total Cost]]+Table1[[#This Row],[PROFIT]]</f>
        <v>2350</v>
      </c>
    </row>
    <row r="301" spans="1:32" x14ac:dyDescent="0.3">
      <c r="A301">
        <v>300</v>
      </c>
      <c r="B301">
        <v>277</v>
      </c>
      <c r="C301">
        <v>1</v>
      </c>
      <c r="D301" t="s">
        <v>626</v>
      </c>
      <c r="E301">
        <v>18500</v>
      </c>
      <c r="F301">
        <v>1950</v>
      </c>
      <c r="G301">
        <v>56</v>
      </c>
      <c r="H301" s="2">
        <v>43311</v>
      </c>
      <c r="I301">
        <v>277</v>
      </c>
      <c r="J301" t="s">
        <v>528</v>
      </c>
      <c r="K301" t="s">
        <v>529</v>
      </c>
      <c r="L301" t="s">
        <v>33</v>
      </c>
      <c r="M301" t="s">
        <v>34</v>
      </c>
      <c r="N301" t="s">
        <v>35</v>
      </c>
      <c r="O301" t="s">
        <v>36</v>
      </c>
      <c r="P301">
        <v>82</v>
      </c>
      <c r="Q301">
        <v>14800</v>
      </c>
      <c r="R301">
        <v>970</v>
      </c>
      <c r="S301">
        <v>1050</v>
      </c>
      <c r="T301">
        <v>150</v>
      </c>
      <c r="U301">
        <v>18500</v>
      </c>
      <c r="V301">
        <v>16970</v>
      </c>
      <c r="W301">
        <v>9.0159104301708926E-2</v>
      </c>
      <c r="X301">
        <v>1530</v>
      </c>
      <c r="Y301" t="s">
        <v>168</v>
      </c>
      <c r="Z301" s="2">
        <v>43306</v>
      </c>
      <c r="AA301">
        <v>19</v>
      </c>
      <c r="AB301" t="s">
        <v>627</v>
      </c>
      <c r="AC301" t="s">
        <v>628</v>
      </c>
      <c r="AD301" t="s">
        <v>71</v>
      </c>
      <c r="AE301" t="str">
        <f t="shared" si="4"/>
        <v>Monday</v>
      </c>
      <c r="AF301" s="12">
        <f>Table1[[#This Row],[Total Cost]]+Table1[[#This Row],[PROFIT]]</f>
        <v>18500</v>
      </c>
    </row>
    <row r="302" spans="1:32" x14ac:dyDescent="0.3">
      <c r="A302">
        <v>301</v>
      </c>
      <c r="B302">
        <v>278</v>
      </c>
      <c r="C302">
        <v>1</v>
      </c>
      <c r="D302" t="s">
        <v>629</v>
      </c>
      <c r="E302">
        <v>5500</v>
      </c>
      <c r="F302">
        <v>2266.5966386554619</v>
      </c>
      <c r="G302">
        <v>73</v>
      </c>
      <c r="H302" s="2">
        <v>43312</v>
      </c>
      <c r="I302">
        <v>278</v>
      </c>
      <c r="J302" t="s">
        <v>630</v>
      </c>
      <c r="K302" t="s">
        <v>631</v>
      </c>
      <c r="L302" t="s">
        <v>95</v>
      </c>
      <c r="M302" t="s">
        <v>34</v>
      </c>
      <c r="N302" t="s">
        <v>35</v>
      </c>
      <c r="O302" t="s">
        <v>36</v>
      </c>
      <c r="P302">
        <v>84</v>
      </c>
      <c r="Q302">
        <v>4400</v>
      </c>
      <c r="R302">
        <v>500</v>
      </c>
      <c r="S302">
        <v>750</v>
      </c>
      <c r="T302">
        <v>150</v>
      </c>
      <c r="U302">
        <v>5500</v>
      </c>
      <c r="V302">
        <v>5800</v>
      </c>
      <c r="W302">
        <v>-5.1724137931034482E-2</v>
      </c>
      <c r="X302">
        <v>-300</v>
      </c>
      <c r="Y302" t="s">
        <v>44</v>
      </c>
      <c r="Z302" s="2">
        <v>43306</v>
      </c>
      <c r="AA302">
        <v>20</v>
      </c>
      <c r="AB302" t="s">
        <v>632</v>
      </c>
      <c r="AC302" t="s">
        <v>434</v>
      </c>
      <c r="AD302" t="s">
        <v>71</v>
      </c>
      <c r="AE302" t="str">
        <f t="shared" si="4"/>
        <v>Tuesday</v>
      </c>
      <c r="AF302" s="12">
        <f>Table1[[#This Row],[Total Cost]]+Table1[[#This Row],[PROFIT]]</f>
        <v>5500</v>
      </c>
    </row>
    <row r="303" spans="1:32" x14ac:dyDescent="0.3">
      <c r="A303">
        <v>302</v>
      </c>
      <c r="B303">
        <v>279</v>
      </c>
      <c r="C303">
        <v>1</v>
      </c>
      <c r="D303" t="s">
        <v>633</v>
      </c>
      <c r="E303">
        <v>128500</v>
      </c>
      <c r="F303">
        <v>12500</v>
      </c>
      <c r="G303">
        <v>74</v>
      </c>
      <c r="H303" s="2">
        <v>43312</v>
      </c>
      <c r="I303">
        <v>279</v>
      </c>
      <c r="J303" t="s">
        <v>634</v>
      </c>
      <c r="K303" t="s">
        <v>635</v>
      </c>
      <c r="L303" t="s">
        <v>395</v>
      </c>
      <c r="M303" t="s">
        <v>234</v>
      </c>
      <c r="N303" t="s">
        <v>235</v>
      </c>
      <c r="O303" t="s">
        <v>36</v>
      </c>
      <c r="P303">
        <v>9</v>
      </c>
      <c r="Q303">
        <v>102800</v>
      </c>
      <c r="R303">
        <v>3950</v>
      </c>
      <c r="S303">
        <v>2200</v>
      </c>
      <c r="T303">
        <v>1950</v>
      </c>
      <c r="U303">
        <v>128500</v>
      </c>
      <c r="V303">
        <v>110900</v>
      </c>
      <c r="W303">
        <v>0.15870153291253389</v>
      </c>
      <c r="X303">
        <v>17600</v>
      </c>
      <c r="Y303" t="s">
        <v>44</v>
      </c>
      <c r="Z303" s="2">
        <v>43306</v>
      </c>
      <c r="AA303">
        <v>1</v>
      </c>
      <c r="AB303" t="s">
        <v>195</v>
      </c>
      <c r="AC303" t="s">
        <v>39</v>
      </c>
      <c r="AD303" t="s">
        <v>40</v>
      </c>
      <c r="AE303" t="str">
        <f t="shared" si="4"/>
        <v>Tuesday</v>
      </c>
      <c r="AF303" s="12">
        <f>Table1[[#This Row],[Total Cost]]+Table1[[#This Row],[PROFIT]]</f>
        <v>128500</v>
      </c>
    </row>
    <row r="304" spans="1:32" x14ac:dyDescent="0.3">
      <c r="A304">
        <v>303</v>
      </c>
      <c r="B304">
        <v>280</v>
      </c>
      <c r="C304">
        <v>1</v>
      </c>
      <c r="D304" t="s">
        <v>636</v>
      </c>
      <c r="E304">
        <v>55000</v>
      </c>
      <c r="F304">
        <v>2266.5966386554619</v>
      </c>
      <c r="G304">
        <v>65</v>
      </c>
      <c r="H304" s="2">
        <v>43312</v>
      </c>
      <c r="I304">
        <v>280</v>
      </c>
      <c r="J304" t="s">
        <v>585</v>
      </c>
      <c r="K304" t="s">
        <v>586</v>
      </c>
      <c r="L304" t="s">
        <v>88</v>
      </c>
      <c r="M304" t="s">
        <v>89</v>
      </c>
      <c r="N304" t="s">
        <v>90</v>
      </c>
      <c r="O304" t="s">
        <v>91</v>
      </c>
      <c r="P304">
        <v>25</v>
      </c>
      <c r="Q304">
        <v>44000</v>
      </c>
      <c r="R304">
        <v>1360</v>
      </c>
      <c r="S304">
        <v>1500</v>
      </c>
      <c r="T304">
        <v>550</v>
      </c>
      <c r="U304">
        <v>55000</v>
      </c>
      <c r="V304">
        <v>47410</v>
      </c>
      <c r="W304">
        <v>0.160092807424594</v>
      </c>
      <c r="X304">
        <v>7590</v>
      </c>
      <c r="Y304" t="s">
        <v>126</v>
      </c>
      <c r="Z304" s="2">
        <v>43306</v>
      </c>
      <c r="AA304">
        <v>4</v>
      </c>
      <c r="AB304" t="s">
        <v>245</v>
      </c>
      <c r="AC304" t="s">
        <v>70</v>
      </c>
      <c r="AD304" t="s">
        <v>71</v>
      </c>
      <c r="AE304" t="str">
        <f t="shared" si="4"/>
        <v>Tuesday</v>
      </c>
      <c r="AF304" s="12">
        <f>Table1[[#This Row],[Total Cost]]+Table1[[#This Row],[PROFIT]]</f>
        <v>55000</v>
      </c>
    </row>
    <row r="305" spans="1:32" x14ac:dyDescent="0.3">
      <c r="A305">
        <v>304</v>
      </c>
      <c r="B305">
        <v>281</v>
      </c>
      <c r="C305">
        <v>1</v>
      </c>
      <c r="D305" t="s">
        <v>637</v>
      </c>
      <c r="E305">
        <v>1250</v>
      </c>
      <c r="F305">
        <v>2266.5966386554619</v>
      </c>
      <c r="G305">
        <v>63</v>
      </c>
      <c r="H305" s="2">
        <v>43312</v>
      </c>
      <c r="I305">
        <v>281</v>
      </c>
      <c r="J305" t="s">
        <v>576</v>
      </c>
      <c r="K305" t="s">
        <v>577</v>
      </c>
      <c r="L305" t="s">
        <v>239</v>
      </c>
      <c r="M305" t="s">
        <v>240</v>
      </c>
      <c r="N305" t="s">
        <v>241</v>
      </c>
      <c r="O305" t="s">
        <v>36</v>
      </c>
      <c r="P305">
        <v>98</v>
      </c>
      <c r="Q305">
        <v>1000</v>
      </c>
      <c r="R305">
        <v>500</v>
      </c>
      <c r="S305">
        <v>750</v>
      </c>
      <c r="T305">
        <v>150</v>
      </c>
      <c r="U305">
        <v>1250</v>
      </c>
      <c r="V305">
        <v>2400</v>
      </c>
      <c r="W305">
        <v>-0.47916666666666657</v>
      </c>
      <c r="X305">
        <v>-1150</v>
      </c>
      <c r="Y305" t="s">
        <v>37</v>
      </c>
      <c r="Z305" s="2">
        <v>43306</v>
      </c>
      <c r="AA305">
        <v>23</v>
      </c>
      <c r="AB305" t="s">
        <v>356</v>
      </c>
      <c r="AC305" t="s">
        <v>336</v>
      </c>
      <c r="AD305" t="s">
        <v>52</v>
      </c>
      <c r="AE305" t="str">
        <f t="shared" si="4"/>
        <v>Tuesday</v>
      </c>
      <c r="AF305" s="12">
        <f>Table1[[#This Row],[Total Cost]]+Table1[[#This Row],[PROFIT]]</f>
        <v>1250</v>
      </c>
    </row>
    <row r="306" spans="1:32" x14ac:dyDescent="0.3">
      <c r="A306">
        <v>305</v>
      </c>
      <c r="B306">
        <v>282</v>
      </c>
      <c r="C306">
        <v>1</v>
      </c>
      <c r="D306" t="s">
        <v>638</v>
      </c>
      <c r="E306">
        <v>345000</v>
      </c>
      <c r="F306">
        <v>2266.5966386554619</v>
      </c>
      <c r="G306">
        <v>75</v>
      </c>
      <c r="H306" s="2">
        <v>43312</v>
      </c>
      <c r="I306">
        <v>282</v>
      </c>
      <c r="J306" t="s">
        <v>639</v>
      </c>
      <c r="K306" t="s">
        <v>640</v>
      </c>
      <c r="L306" t="s">
        <v>110</v>
      </c>
      <c r="M306" t="s">
        <v>64</v>
      </c>
      <c r="N306" t="s">
        <v>65</v>
      </c>
      <c r="O306" t="s">
        <v>36</v>
      </c>
      <c r="P306">
        <v>63</v>
      </c>
      <c r="Q306">
        <v>276000</v>
      </c>
      <c r="R306">
        <v>5500</v>
      </c>
      <c r="S306">
        <v>457</v>
      </c>
      <c r="T306">
        <v>1950</v>
      </c>
      <c r="U306">
        <v>345000</v>
      </c>
      <c r="V306">
        <v>283907</v>
      </c>
      <c r="W306">
        <v>0.2151866632383139</v>
      </c>
      <c r="X306">
        <v>61093</v>
      </c>
      <c r="Y306" t="s">
        <v>37</v>
      </c>
      <c r="Z306" s="2">
        <v>43306</v>
      </c>
      <c r="AA306">
        <v>12</v>
      </c>
      <c r="AB306" t="s">
        <v>381</v>
      </c>
      <c r="AC306" t="s">
        <v>382</v>
      </c>
      <c r="AD306" t="s">
        <v>374</v>
      </c>
      <c r="AE306" t="str">
        <f t="shared" si="4"/>
        <v>Tuesday</v>
      </c>
      <c r="AF306" s="12">
        <f>Table1[[#This Row],[Total Cost]]+Table1[[#This Row],[PROFIT]]</f>
        <v>345000</v>
      </c>
    </row>
    <row r="307" spans="1:32" x14ac:dyDescent="0.3">
      <c r="A307">
        <v>306</v>
      </c>
      <c r="B307">
        <v>283</v>
      </c>
      <c r="C307">
        <v>1</v>
      </c>
      <c r="D307" t="s">
        <v>641</v>
      </c>
      <c r="E307">
        <v>82590</v>
      </c>
      <c r="F307">
        <v>2266.5966386554619</v>
      </c>
      <c r="G307">
        <v>76</v>
      </c>
      <c r="H307" s="2">
        <v>43312</v>
      </c>
      <c r="I307">
        <v>283</v>
      </c>
      <c r="J307" t="s">
        <v>642</v>
      </c>
      <c r="K307" t="s">
        <v>643</v>
      </c>
      <c r="L307" t="s">
        <v>391</v>
      </c>
      <c r="M307" t="s">
        <v>240</v>
      </c>
      <c r="N307" t="s">
        <v>241</v>
      </c>
      <c r="O307" t="s">
        <v>36</v>
      </c>
      <c r="P307">
        <v>24</v>
      </c>
      <c r="Q307">
        <v>66072</v>
      </c>
      <c r="R307">
        <v>1490</v>
      </c>
      <c r="S307">
        <v>457</v>
      </c>
      <c r="T307">
        <v>750</v>
      </c>
      <c r="U307">
        <v>82590</v>
      </c>
      <c r="V307">
        <v>68769</v>
      </c>
      <c r="W307">
        <v>0.2009771844871964</v>
      </c>
      <c r="X307">
        <v>13821</v>
      </c>
      <c r="Y307" t="s">
        <v>103</v>
      </c>
      <c r="Z307" s="2">
        <v>43306</v>
      </c>
      <c r="AA307">
        <v>4</v>
      </c>
      <c r="AB307" t="s">
        <v>80</v>
      </c>
      <c r="AC307" t="s">
        <v>70</v>
      </c>
      <c r="AD307" t="s">
        <v>71</v>
      </c>
      <c r="AE307" t="str">
        <f t="shared" si="4"/>
        <v>Tuesday</v>
      </c>
      <c r="AF307" s="12">
        <f>Table1[[#This Row],[Total Cost]]+Table1[[#This Row],[PROFIT]]</f>
        <v>82590</v>
      </c>
    </row>
    <row r="308" spans="1:32" x14ac:dyDescent="0.3">
      <c r="A308">
        <v>307</v>
      </c>
      <c r="B308">
        <v>284</v>
      </c>
      <c r="C308">
        <v>1</v>
      </c>
      <c r="D308" t="s">
        <v>644</v>
      </c>
      <c r="E308">
        <v>113590</v>
      </c>
      <c r="F308">
        <v>2266.5966386554619</v>
      </c>
      <c r="G308">
        <v>77</v>
      </c>
      <c r="H308" s="2">
        <v>43313</v>
      </c>
      <c r="I308">
        <v>284</v>
      </c>
      <c r="J308" t="s">
        <v>645</v>
      </c>
      <c r="K308" t="s">
        <v>646</v>
      </c>
      <c r="L308" t="s">
        <v>164</v>
      </c>
      <c r="M308" t="s">
        <v>89</v>
      </c>
      <c r="N308" t="s">
        <v>90</v>
      </c>
      <c r="O308" t="s">
        <v>91</v>
      </c>
      <c r="P308">
        <v>24</v>
      </c>
      <c r="Q308">
        <v>90872</v>
      </c>
      <c r="R308">
        <v>500</v>
      </c>
      <c r="S308">
        <v>225</v>
      </c>
      <c r="T308">
        <v>750</v>
      </c>
      <c r="U308">
        <v>113590</v>
      </c>
      <c r="V308">
        <v>92347</v>
      </c>
      <c r="W308">
        <v>0.23003454362350689</v>
      </c>
      <c r="X308">
        <v>21243</v>
      </c>
      <c r="Y308" t="s">
        <v>68</v>
      </c>
      <c r="Z308" s="2">
        <v>43312</v>
      </c>
      <c r="AA308">
        <v>4</v>
      </c>
      <c r="AB308" t="s">
        <v>80</v>
      </c>
      <c r="AC308" t="s">
        <v>70</v>
      </c>
      <c r="AD308" t="s">
        <v>71</v>
      </c>
      <c r="AE308" t="str">
        <f t="shared" si="4"/>
        <v>Wednesday</v>
      </c>
      <c r="AF308" s="12">
        <f>Table1[[#This Row],[Total Cost]]+Table1[[#This Row],[PROFIT]]</f>
        <v>113590</v>
      </c>
    </row>
    <row r="309" spans="1:32" x14ac:dyDescent="0.3">
      <c r="A309">
        <v>308</v>
      </c>
      <c r="B309">
        <v>285</v>
      </c>
      <c r="C309">
        <v>1</v>
      </c>
      <c r="D309" t="s">
        <v>647</v>
      </c>
      <c r="E309">
        <v>45000</v>
      </c>
      <c r="F309">
        <v>1250</v>
      </c>
      <c r="G309">
        <v>65</v>
      </c>
      <c r="H309" s="2">
        <v>43313</v>
      </c>
      <c r="I309">
        <v>285</v>
      </c>
      <c r="J309" t="s">
        <v>585</v>
      </c>
      <c r="K309" t="s">
        <v>586</v>
      </c>
      <c r="L309" t="s">
        <v>88</v>
      </c>
      <c r="M309" t="s">
        <v>89</v>
      </c>
      <c r="N309" t="s">
        <v>90</v>
      </c>
      <c r="O309" t="s">
        <v>91</v>
      </c>
      <c r="P309">
        <v>26</v>
      </c>
      <c r="Q309">
        <v>36000</v>
      </c>
      <c r="R309">
        <v>1360</v>
      </c>
      <c r="S309">
        <v>750</v>
      </c>
      <c r="T309">
        <v>550</v>
      </c>
      <c r="U309">
        <v>45000</v>
      </c>
      <c r="V309">
        <v>38660</v>
      </c>
      <c r="W309">
        <v>0.16399379203310921</v>
      </c>
      <c r="X309">
        <v>6340</v>
      </c>
      <c r="Y309" t="s">
        <v>73</v>
      </c>
      <c r="Z309" s="2">
        <v>43312</v>
      </c>
      <c r="AA309">
        <v>4</v>
      </c>
      <c r="AB309" t="s">
        <v>147</v>
      </c>
      <c r="AC309" t="s">
        <v>70</v>
      </c>
      <c r="AD309" t="s">
        <v>71</v>
      </c>
      <c r="AE309" t="str">
        <f t="shared" si="4"/>
        <v>Wednesday</v>
      </c>
      <c r="AF309" s="12">
        <f>Table1[[#This Row],[Total Cost]]+Table1[[#This Row],[PROFIT]]</f>
        <v>45000</v>
      </c>
    </row>
    <row r="310" spans="1:32" x14ac:dyDescent="0.3">
      <c r="A310">
        <v>309</v>
      </c>
      <c r="B310">
        <v>286</v>
      </c>
      <c r="C310">
        <v>1</v>
      </c>
      <c r="D310" t="s">
        <v>648</v>
      </c>
      <c r="E310">
        <v>57600</v>
      </c>
      <c r="F310">
        <v>2266.5966386554619</v>
      </c>
      <c r="G310">
        <v>64</v>
      </c>
      <c r="H310" s="2">
        <v>43313</v>
      </c>
      <c r="I310">
        <v>286</v>
      </c>
      <c r="J310" t="s">
        <v>579</v>
      </c>
      <c r="K310" t="s">
        <v>580</v>
      </c>
      <c r="L310" t="s">
        <v>233</v>
      </c>
      <c r="M310" t="s">
        <v>234</v>
      </c>
      <c r="N310" t="s">
        <v>235</v>
      </c>
      <c r="O310" t="s">
        <v>36</v>
      </c>
      <c r="P310">
        <v>28</v>
      </c>
      <c r="Q310">
        <v>46080</v>
      </c>
      <c r="R310">
        <v>2000</v>
      </c>
      <c r="S310">
        <v>1500</v>
      </c>
      <c r="T310">
        <v>550</v>
      </c>
      <c r="U310">
        <v>57600</v>
      </c>
      <c r="V310">
        <v>50130</v>
      </c>
      <c r="W310">
        <v>0.14901256732495519</v>
      </c>
      <c r="X310">
        <v>7470</v>
      </c>
      <c r="Y310" t="s">
        <v>68</v>
      </c>
      <c r="Z310" s="2">
        <v>43312</v>
      </c>
      <c r="AA310">
        <v>4</v>
      </c>
      <c r="AB310" t="s">
        <v>251</v>
      </c>
      <c r="AC310" t="s">
        <v>70</v>
      </c>
      <c r="AD310" t="s">
        <v>71</v>
      </c>
      <c r="AE310" t="str">
        <f t="shared" si="4"/>
        <v>Wednesday</v>
      </c>
      <c r="AF310" s="12">
        <f>Table1[[#This Row],[Total Cost]]+Table1[[#This Row],[PROFIT]]</f>
        <v>57600</v>
      </c>
    </row>
    <row r="311" spans="1:32" x14ac:dyDescent="0.3">
      <c r="A311">
        <v>310</v>
      </c>
      <c r="B311">
        <v>287</v>
      </c>
      <c r="C311">
        <v>1</v>
      </c>
      <c r="D311" t="s">
        <v>649</v>
      </c>
      <c r="E311">
        <v>102500</v>
      </c>
      <c r="F311">
        <v>2266.5966386554619</v>
      </c>
      <c r="G311">
        <v>45</v>
      </c>
      <c r="H311" s="2">
        <v>43313</v>
      </c>
      <c r="I311">
        <v>287</v>
      </c>
      <c r="J311" t="s">
        <v>417</v>
      </c>
      <c r="K311" t="s">
        <v>418</v>
      </c>
      <c r="L311" t="s">
        <v>95</v>
      </c>
      <c r="M311" t="s">
        <v>34</v>
      </c>
      <c r="N311" t="s">
        <v>35</v>
      </c>
      <c r="O311" t="s">
        <v>36</v>
      </c>
      <c r="P311">
        <v>27</v>
      </c>
      <c r="Q311">
        <v>82000</v>
      </c>
      <c r="R311">
        <v>2175</v>
      </c>
      <c r="S311">
        <v>1500</v>
      </c>
      <c r="T311">
        <v>750</v>
      </c>
      <c r="U311">
        <v>102500</v>
      </c>
      <c r="V311">
        <v>86425</v>
      </c>
      <c r="W311">
        <v>0.18599942146369691</v>
      </c>
      <c r="X311">
        <v>16075</v>
      </c>
      <c r="Y311" t="s">
        <v>73</v>
      </c>
      <c r="Z311" s="2">
        <v>43313</v>
      </c>
      <c r="AA311">
        <v>4</v>
      </c>
      <c r="AB311" t="s">
        <v>268</v>
      </c>
      <c r="AC311" t="s">
        <v>70</v>
      </c>
      <c r="AD311" t="s">
        <v>71</v>
      </c>
      <c r="AE311" t="str">
        <f t="shared" si="4"/>
        <v>Wednesday</v>
      </c>
      <c r="AF311" s="12">
        <f>Table1[[#This Row],[Total Cost]]+Table1[[#This Row],[PROFIT]]</f>
        <v>102500</v>
      </c>
    </row>
    <row r="312" spans="1:32" x14ac:dyDescent="0.3">
      <c r="A312">
        <v>311</v>
      </c>
      <c r="B312">
        <v>288</v>
      </c>
      <c r="C312">
        <v>1</v>
      </c>
      <c r="D312" t="s">
        <v>650</v>
      </c>
      <c r="E312">
        <v>39500</v>
      </c>
      <c r="F312">
        <v>2266.5966386554619</v>
      </c>
      <c r="G312">
        <v>54</v>
      </c>
      <c r="H312" s="2">
        <v>43322</v>
      </c>
      <c r="I312">
        <v>288</v>
      </c>
      <c r="J312" t="s">
        <v>510</v>
      </c>
      <c r="K312" t="s">
        <v>511</v>
      </c>
      <c r="L312" t="s">
        <v>142</v>
      </c>
      <c r="M312" t="s">
        <v>34</v>
      </c>
      <c r="N312" t="s">
        <v>35</v>
      </c>
      <c r="O312" t="s">
        <v>36</v>
      </c>
      <c r="P312">
        <v>21</v>
      </c>
      <c r="Q312">
        <v>31600</v>
      </c>
      <c r="R312">
        <v>970</v>
      </c>
      <c r="S312">
        <v>750</v>
      </c>
      <c r="T312">
        <v>550</v>
      </c>
      <c r="U312">
        <v>39500</v>
      </c>
      <c r="V312">
        <v>33870</v>
      </c>
      <c r="W312">
        <v>0.1662237968703868</v>
      </c>
      <c r="X312">
        <v>5630</v>
      </c>
      <c r="Y312" t="s">
        <v>44</v>
      </c>
      <c r="Z312" s="2">
        <v>43314</v>
      </c>
      <c r="AA312">
        <v>4</v>
      </c>
      <c r="AB312" t="s">
        <v>398</v>
      </c>
      <c r="AC312" t="s">
        <v>70</v>
      </c>
      <c r="AD312" t="s">
        <v>71</v>
      </c>
      <c r="AE312" t="str">
        <f t="shared" si="4"/>
        <v>Friday</v>
      </c>
      <c r="AF312" s="12">
        <f>Table1[[#This Row],[Total Cost]]+Table1[[#This Row],[PROFIT]]</f>
        <v>39500</v>
      </c>
    </row>
    <row r="313" spans="1:32" x14ac:dyDescent="0.3">
      <c r="A313">
        <v>312</v>
      </c>
      <c r="B313">
        <v>289</v>
      </c>
      <c r="C313">
        <v>1</v>
      </c>
      <c r="D313" t="s">
        <v>651</v>
      </c>
      <c r="E313">
        <v>61550</v>
      </c>
      <c r="F313">
        <v>2266.5966386554619</v>
      </c>
      <c r="G313">
        <v>78</v>
      </c>
      <c r="H313" s="2">
        <v>43323</v>
      </c>
      <c r="I313">
        <v>289</v>
      </c>
      <c r="J313" t="s">
        <v>652</v>
      </c>
      <c r="K313" t="s">
        <v>653</v>
      </c>
      <c r="L313" t="s">
        <v>142</v>
      </c>
      <c r="M313" t="s">
        <v>34</v>
      </c>
      <c r="N313" t="s">
        <v>35</v>
      </c>
      <c r="O313" t="s">
        <v>36</v>
      </c>
      <c r="P313">
        <v>25</v>
      </c>
      <c r="Q313">
        <v>49240</v>
      </c>
      <c r="R313">
        <v>660</v>
      </c>
      <c r="S313">
        <v>750</v>
      </c>
      <c r="T313">
        <v>550</v>
      </c>
      <c r="U313">
        <v>61550</v>
      </c>
      <c r="V313">
        <v>51200</v>
      </c>
      <c r="W313">
        <v>0.2021484375</v>
      </c>
      <c r="X313">
        <v>10350</v>
      </c>
      <c r="Y313" t="s">
        <v>73</v>
      </c>
      <c r="Z313" s="2">
        <v>43314</v>
      </c>
      <c r="AA313">
        <v>4</v>
      </c>
      <c r="AB313" t="s">
        <v>245</v>
      </c>
      <c r="AC313" t="s">
        <v>70</v>
      </c>
      <c r="AD313" t="s">
        <v>71</v>
      </c>
      <c r="AE313" t="str">
        <f t="shared" si="4"/>
        <v>Saturday</v>
      </c>
      <c r="AF313" s="12">
        <f>Table1[[#This Row],[Total Cost]]+Table1[[#This Row],[PROFIT]]</f>
        <v>61550</v>
      </c>
    </row>
    <row r="314" spans="1:32" x14ac:dyDescent="0.3">
      <c r="A314">
        <v>313</v>
      </c>
      <c r="B314">
        <v>290</v>
      </c>
      <c r="C314">
        <v>1</v>
      </c>
      <c r="D314" t="s">
        <v>654</v>
      </c>
      <c r="E314">
        <v>55000</v>
      </c>
      <c r="F314">
        <v>2266.5966386554619</v>
      </c>
      <c r="G314">
        <v>79</v>
      </c>
      <c r="H314" s="2">
        <v>43327</v>
      </c>
      <c r="I314">
        <v>290</v>
      </c>
      <c r="J314" t="s">
        <v>655</v>
      </c>
      <c r="K314" t="s">
        <v>656</v>
      </c>
      <c r="L314" t="s">
        <v>142</v>
      </c>
      <c r="M314" t="s">
        <v>34</v>
      </c>
      <c r="N314" t="s">
        <v>35</v>
      </c>
      <c r="O314" t="s">
        <v>36</v>
      </c>
      <c r="P314">
        <v>26</v>
      </c>
      <c r="Q314">
        <v>44000</v>
      </c>
      <c r="R314">
        <v>1360</v>
      </c>
      <c r="S314">
        <v>1500</v>
      </c>
      <c r="T314">
        <v>550</v>
      </c>
      <c r="U314">
        <v>55000</v>
      </c>
      <c r="V314">
        <v>47410</v>
      </c>
      <c r="W314">
        <v>0.160092807424594</v>
      </c>
      <c r="X314">
        <v>7590</v>
      </c>
      <c r="Y314" t="s">
        <v>44</v>
      </c>
      <c r="Z314" s="2">
        <v>43314</v>
      </c>
      <c r="AA314">
        <v>4</v>
      </c>
      <c r="AB314" t="s">
        <v>147</v>
      </c>
      <c r="AC314" t="s">
        <v>70</v>
      </c>
      <c r="AD314" t="s">
        <v>71</v>
      </c>
      <c r="AE314" t="str">
        <f t="shared" si="4"/>
        <v>Wednesday</v>
      </c>
      <c r="AF314" s="12">
        <f>Table1[[#This Row],[Total Cost]]+Table1[[#This Row],[PROFIT]]</f>
        <v>55000</v>
      </c>
    </row>
    <row r="315" spans="1:32" x14ac:dyDescent="0.3">
      <c r="A315">
        <v>314</v>
      </c>
      <c r="B315">
        <v>291</v>
      </c>
      <c r="C315">
        <v>1</v>
      </c>
      <c r="D315" t="s">
        <v>657</v>
      </c>
      <c r="E315">
        <v>99500</v>
      </c>
      <c r="F315">
        <v>1250</v>
      </c>
      <c r="G315">
        <v>80</v>
      </c>
      <c r="H315" s="2">
        <v>43328</v>
      </c>
      <c r="I315">
        <v>291</v>
      </c>
      <c r="J315" t="s">
        <v>658</v>
      </c>
      <c r="K315" t="s">
        <v>659</v>
      </c>
      <c r="L315" t="s">
        <v>176</v>
      </c>
      <c r="M315" t="s">
        <v>57</v>
      </c>
      <c r="N315" t="s">
        <v>58</v>
      </c>
      <c r="O315" t="s">
        <v>36</v>
      </c>
      <c r="P315">
        <v>30</v>
      </c>
      <c r="Q315">
        <v>79600</v>
      </c>
      <c r="R315">
        <v>2000</v>
      </c>
      <c r="S315">
        <v>750</v>
      </c>
      <c r="T315">
        <v>750</v>
      </c>
      <c r="U315">
        <v>99500</v>
      </c>
      <c r="V315">
        <v>83100</v>
      </c>
      <c r="W315">
        <v>0.19735258724428409</v>
      </c>
      <c r="X315">
        <v>16400</v>
      </c>
      <c r="Y315" t="s">
        <v>126</v>
      </c>
      <c r="Z315" s="2">
        <v>43314</v>
      </c>
      <c r="AA315">
        <v>5</v>
      </c>
      <c r="AB315" t="s">
        <v>660</v>
      </c>
      <c r="AC315" t="s">
        <v>98</v>
      </c>
      <c r="AD315" t="s">
        <v>71</v>
      </c>
      <c r="AE315" t="str">
        <f t="shared" si="4"/>
        <v>Thursday</v>
      </c>
      <c r="AF315" s="12">
        <f>Table1[[#This Row],[Total Cost]]+Table1[[#This Row],[PROFIT]]</f>
        <v>99500</v>
      </c>
    </row>
    <row r="316" spans="1:32" x14ac:dyDescent="0.3">
      <c r="A316">
        <v>315</v>
      </c>
      <c r="B316">
        <v>292</v>
      </c>
      <c r="C316">
        <v>1</v>
      </c>
      <c r="D316" t="s">
        <v>661</v>
      </c>
      <c r="E316">
        <v>56800</v>
      </c>
      <c r="F316">
        <v>750</v>
      </c>
      <c r="G316">
        <v>6</v>
      </c>
      <c r="H316" s="2">
        <v>43330</v>
      </c>
      <c r="I316">
        <v>292</v>
      </c>
      <c r="J316" t="s">
        <v>151</v>
      </c>
      <c r="K316" t="s">
        <v>152</v>
      </c>
      <c r="L316" t="s">
        <v>153</v>
      </c>
      <c r="M316" t="s">
        <v>154</v>
      </c>
      <c r="N316" t="s">
        <v>155</v>
      </c>
      <c r="O316" t="s">
        <v>36</v>
      </c>
      <c r="P316">
        <v>33</v>
      </c>
      <c r="Q316">
        <v>45440</v>
      </c>
      <c r="R316">
        <v>500</v>
      </c>
      <c r="S316">
        <v>750</v>
      </c>
      <c r="T316">
        <v>550</v>
      </c>
      <c r="U316">
        <v>56800</v>
      </c>
      <c r="V316">
        <v>47240</v>
      </c>
      <c r="W316">
        <v>0.20237087214225241</v>
      </c>
      <c r="X316">
        <v>9560</v>
      </c>
      <c r="Y316" t="s">
        <v>126</v>
      </c>
      <c r="Z316" s="2">
        <v>43314</v>
      </c>
      <c r="AA316">
        <v>5</v>
      </c>
      <c r="AB316" t="s">
        <v>300</v>
      </c>
      <c r="AC316" t="s">
        <v>98</v>
      </c>
      <c r="AD316" t="s">
        <v>71</v>
      </c>
      <c r="AE316" t="str">
        <f t="shared" si="4"/>
        <v>Saturday</v>
      </c>
      <c r="AF316" s="12">
        <f>Table1[[#This Row],[Total Cost]]+Table1[[#This Row],[PROFIT]]</f>
        <v>56800</v>
      </c>
    </row>
    <row r="317" spans="1:32" x14ac:dyDescent="0.3">
      <c r="A317">
        <v>316</v>
      </c>
      <c r="B317">
        <v>293</v>
      </c>
      <c r="C317">
        <v>1</v>
      </c>
      <c r="D317" t="s">
        <v>662</v>
      </c>
      <c r="E317">
        <v>89500</v>
      </c>
      <c r="F317">
        <v>2266.5966386554619</v>
      </c>
      <c r="G317">
        <v>36</v>
      </c>
      <c r="H317" s="2">
        <v>43344</v>
      </c>
      <c r="I317">
        <v>293</v>
      </c>
      <c r="J317" t="s">
        <v>273</v>
      </c>
      <c r="K317" t="s">
        <v>274</v>
      </c>
      <c r="L317" t="s">
        <v>88</v>
      </c>
      <c r="M317" t="s">
        <v>89</v>
      </c>
      <c r="N317" t="s">
        <v>90</v>
      </c>
      <c r="O317" t="s">
        <v>91</v>
      </c>
      <c r="P317">
        <v>31</v>
      </c>
      <c r="Q317">
        <v>71600</v>
      </c>
      <c r="R317">
        <v>1490</v>
      </c>
      <c r="S317">
        <v>750</v>
      </c>
      <c r="T317">
        <v>750</v>
      </c>
      <c r="U317">
        <v>89500</v>
      </c>
      <c r="V317">
        <v>74590</v>
      </c>
      <c r="W317">
        <v>0.19989274701702639</v>
      </c>
      <c r="X317">
        <v>14910</v>
      </c>
      <c r="Y317" t="s">
        <v>244</v>
      </c>
      <c r="Z317" s="2">
        <v>43343</v>
      </c>
      <c r="AA317">
        <v>5</v>
      </c>
      <c r="AB317" t="s">
        <v>169</v>
      </c>
      <c r="AC317" t="s">
        <v>98</v>
      </c>
      <c r="AD317" t="s">
        <v>71</v>
      </c>
      <c r="AE317" t="str">
        <f t="shared" si="4"/>
        <v>Saturday</v>
      </c>
      <c r="AF317" s="12">
        <f>Table1[[#This Row],[Total Cost]]+Table1[[#This Row],[PROFIT]]</f>
        <v>89500</v>
      </c>
    </row>
    <row r="318" spans="1:32" x14ac:dyDescent="0.3">
      <c r="A318">
        <v>317</v>
      </c>
      <c r="B318">
        <v>294</v>
      </c>
      <c r="C318">
        <v>1</v>
      </c>
      <c r="D318" t="s">
        <v>663</v>
      </c>
      <c r="E318">
        <v>72500</v>
      </c>
      <c r="F318">
        <v>2266.5966386554619</v>
      </c>
      <c r="G318">
        <v>16</v>
      </c>
      <c r="H318" s="2">
        <v>43344</v>
      </c>
      <c r="I318">
        <v>294</v>
      </c>
      <c r="J318" t="s">
        <v>124</v>
      </c>
      <c r="K318" t="s">
        <v>125</v>
      </c>
      <c r="L318" t="s">
        <v>110</v>
      </c>
      <c r="M318" t="s">
        <v>64</v>
      </c>
      <c r="N318" t="s">
        <v>65</v>
      </c>
      <c r="O318" t="s">
        <v>36</v>
      </c>
      <c r="P318">
        <v>32</v>
      </c>
      <c r="Q318">
        <v>58000</v>
      </c>
      <c r="R318">
        <v>1490</v>
      </c>
      <c r="S318">
        <v>225</v>
      </c>
      <c r="T318">
        <v>750</v>
      </c>
      <c r="U318">
        <v>72500</v>
      </c>
      <c r="V318">
        <v>60465</v>
      </c>
      <c r="W318">
        <v>0.19904076738609119</v>
      </c>
      <c r="X318">
        <v>12035</v>
      </c>
      <c r="Y318" t="s">
        <v>49</v>
      </c>
      <c r="Z318" s="2">
        <v>43343</v>
      </c>
      <c r="AA318">
        <v>5</v>
      </c>
      <c r="AB318" t="s">
        <v>97</v>
      </c>
      <c r="AC318" t="s">
        <v>98</v>
      </c>
      <c r="AD318" t="s">
        <v>71</v>
      </c>
      <c r="AE318" t="str">
        <f t="shared" si="4"/>
        <v>Saturday</v>
      </c>
      <c r="AF318" s="12">
        <f>Table1[[#This Row],[Total Cost]]+Table1[[#This Row],[PROFIT]]</f>
        <v>72500</v>
      </c>
    </row>
    <row r="319" spans="1:32" x14ac:dyDescent="0.3">
      <c r="A319">
        <v>318</v>
      </c>
      <c r="B319">
        <v>295</v>
      </c>
      <c r="C319">
        <v>1</v>
      </c>
      <c r="D319" t="s">
        <v>664</v>
      </c>
      <c r="E319">
        <v>56950</v>
      </c>
      <c r="F319">
        <v>2266.5966386554619</v>
      </c>
      <c r="G319">
        <v>14</v>
      </c>
      <c r="H319" s="2">
        <v>43344</v>
      </c>
      <c r="I319">
        <v>295</v>
      </c>
      <c r="J319" t="s">
        <v>114</v>
      </c>
      <c r="K319" t="s">
        <v>115</v>
      </c>
      <c r="L319" t="s">
        <v>95</v>
      </c>
      <c r="M319" t="s">
        <v>34</v>
      </c>
      <c r="N319" t="s">
        <v>35</v>
      </c>
      <c r="O319" t="s">
        <v>36</v>
      </c>
      <c r="P319">
        <v>30</v>
      </c>
      <c r="Q319">
        <v>45560</v>
      </c>
      <c r="R319">
        <v>970</v>
      </c>
      <c r="S319">
        <v>750</v>
      </c>
      <c r="T319">
        <v>550</v>
      </c>
      <c r="U319">
        <v>56950</v>
      </c>
      <c r="V319">
        <v>47830</v>
      </c>
      <c r="W319">
        <v>0.19067530838385949</v>
      </c>
      <c r="X319">
        <v>9120</v>
      </c>
      <c r="Y319" t="s">
        <v>37</v>
      </c>
      <c r="Z319" s="2">
        <v>43343</v>
      </c>
      <c r="AA319">
        <v>5</v>
      </c>
      <c r="AB319" t="s">
        <v>660</v>
      </c>
      <c r="AC319" t="s">
        <v>98</v>
      </c>
      <c r="AD319" t="s">
        <v>71</v>
      </c>
      <c r="AE319" t="str">
        <f t="shared" si="4"/>
        <v>Saturday</v>
      </c>
      <c r="AF319" s="12">
        <f>Table1[[#This Row],[Total Cost]]+Table1[[#This Row],[PROFIT]]</f>
        <v>56950</v>
      </c>
    </row>
    <row r="320" spans="1:32" x14ac:dyDescent="0.3">
      <c r="A320">
        <v>319</v>
      </c>
      <c r="B320">
        <v>296</v>
      </c>
      <c r="C320">
        <v>1</v>
      </c>
      <c r="D320" t="s">
        <v>665</v>
      </c>
      <c r="E320">
        <v>62500</v>
      </c>
      <c r="F320">
        <v>2266.5966386554619</v>
      </c>
      <c r="G320">
        <v>56</v>
      </c>
      <c r="H320" s="2">
        <v>43347</v>
      </c>
      <c r="I320">
        <v>296</v>
      </c>
      <c r="J320" t="s">
        <v>528</v>
      </c>
      <c r="K320" t="s">
        <v>529</v>
      </c>
      <c r="L320" t="s">
        <v>33</v>
      </c>
      <c r="M320" t="s">
        <v>34</v>
      </c>
      <c r="N320" t="s">
        <v>35</v>
      </c>
      <c r="O320" t="s">
        <v>36</v>
      </c>
      <c r="P320">
        <v>45</v>
      </c>
      <c r="Q320">
        <v>50000</v>
      </c>
      <c r="R320">
        <v>500</v>
      </c>
      <c r="S320">
        <v>225</v>
      </c>
      <c r="T320">
        <v>550</v>
      </c>
      <c r="U320">
        <v>62500</v>
      </c>
      <c r="V320">
        <v>51275</v>
      </c>
      <c r="W320">
        <v>0.21891760117016079</v>
      </c>
      <c r="X320">
        <v>11225</v>
      </c>
      <c r="Y320" t="s">
        <v>79</v>
      </c>
      <c r="Z320" s="2">
        <v>43344</v>
      </c>
      <c r="AA320">
        <v>8</v>
      </c>
      <c r="AB320" t="s">
        <v>111</v>
      </c>
      <c r="AC320" t="s">
        <v>112</v>
      </c>
      <c r="AD320" t="s">
        <v>52</v>
      </c>
      <c r="AE320" t="str">
        <f t="shared" si="4"/>
        <v>Tuesday</v>
      </c>
      <c r="AF320" s="12">
        <f>Table1[[#This Row],[Total Cost]]+Table1[[#This Row],[PROFIT]]</f>
        <v>62500</v>
      </c>
    </row>
    <row r="321" spans="1:32" x14ac:dyDescent="0.3">
      <c r="A321">
        <v>320</v>
      </c>
      <c r="B321">
        <v>297</v>
      </c>
      <c r="C321">
        <v>1</v>
      </c>
      <c r="D321" t="s">
        <v>666</v>
      </c>
      <c r="E321">
        <v>56890</v>
      </c>
      <c r="F321">
        <v>2266.5966386554619</v>
      </c>
      <c r="G321">
        <v>48</v>
      </c>
      <c r="H321" s="2">
        <v>43347</v>
      </c>
      <c r="I321">
        <v>297</v>
      </c>
      <c r="J321" t="s">
        <v>442</v>
      </c>
      <c r="K321" t="s">
        <v>443</v>
      </c>
      <c r="L321" t="s">
        <v>395</v>
      </c>
      <c r="M321" t="s">
        <v>234</v>
      </c>
      <c r="N321" t="s">
        <v>235</v>
      </c>
      <c r="O321" t="s">
        <v>36</v>
      </c>
      <c r="P321">
        <v>45</v>
      </c>
      <c r="Q321">
        <v>45512</v>
      </c>
      <c r="R321">
        <v>1360</v>
      </c>
      <c r="S321">
        <v>750</v>
      </c>
      <c r="T321">
        <v>550</v>
      </c>
      <c r="U321">
        <v>56890</v>
      </c>
      <c r="V321">
        <v>48172</v>
      </c>
      <c r="W321">
        <v>0.18097650087187581</v>
      </c>
      <c r="X321">
        <v>8718</v>
      </c>
      <c r="Y321" t="s">
        <v>126</v>
      </c>
      <c r="Z321" s="2">
        <v>43344</v>
      </c>
      <c r="AA321">
        <v>8</v>
      </c>
      <c r="AB321" t="s">
        <v>111</v>
      </c>
      <c r="AC321" t="s">
        <v>112</v>
      </c>
      <c r="AD321" t="s">
        <v>52</v>
      </c>
      <c r="AE321" t="str">
        <f t="shared" si="4"/>
        <v>Tuesday</v>
      </c>
      <c r="AF321" s="12">
        <f>Table1[[#This Row],[Total Cost]]+Table1[[#This Row],[PROFIT]]</f>
        <v>56890</v>
      </c>
    </row>
    <row r="322" spans="1:32" x14ac:dyDescent="0.3">
      <c r="A322">
        <v>321</v>
      </c>
      <c r="B322">
        <v>298</v>
      </c>
      <c r="C322">
        <v>1</v>
      </c>
      <c r="D322" t="s">
        <v>667</v>
      </c>
      <c r="E322">
        <v>33600</v>
      </c>
      <c r="F322">
        <v>2266.5966386554619</v>
      </c>
      <c r="G322">
        <v>57</v>
      </c>
      <c r="H322" s="2">
        <v>43351</v>
      </c>
      <c r="I322">
        <v>298</v>
      </c>
      <c r="J322" t="s">
        <v>532</v>
      </c>
      <c r="K322" t="s">
        <v>533</v>
      </c>
      <c r="L322" t="s">
        <v>63</v>
      </c>
      <c r="M322" t="s">
        <v>64</v>
      </c>
      <c r="N322" t="s">
        <v>65</v>
      </c>
      <c r="O322" t="s">
        <v>36</v>
      </c>
      <c r="P322">
        <v>46</v>
      </c>
      <c r="Q322">
        <v>26880</v>
      </c>
      <c r="R322">
        <v>2000</v>
      </c>
      <c r="S322">
        <v>457</v>
      </c>
      <c r="T322">
        <v>550</v>
      </c>
      <c r="U322">
        <v>33600</v>
      </c>
      <c r="V322">
        <v>29887</v>
      </c>
      <c r="W322">
        <v>0.12423461705758369</v>
      </c>
      <c r="X322">
        <v>3713</v>
      </c>
      <c r="Y322" t="s">
        <v>244</v>
      </c>
      <c r="Z322" s="2">
        <v>43344</v>
      </c>
      <c r="AA322">
        <v>8</v>
      </c>
      <c r="AB322" t="s">
        <v>466</v>
      </c>
      <c r="AC322" t="s">
        <v>112</v>
      </c>
      <c r="AD322" t="s">
        <v>52</v>
      </c>
      <c r="AE322" t="str">
        <f t="shared" si="4"/>
        <v>Saturday</v>
      </c>
      <c r="AF322" s="12">
        <f>Table1[[#This Row],[Total Cost]]+Table1[[#This Row],[PROFIT]]</f>
        <v>33600</v>
      </c>
    </row>
    <row r="323" spans="1:32" x14ac:dyDescent="0.3">
      <c r="A323">
        <v>322</v>
      </c>
      <c r="B323">
        <v>299</v>
      </c>
      <c r="C323">
        <v>1</v>
      </c>
      <c r="D323" t="s">
        <v>668</v>
      </c>
      <c r="E323">
        <v>30500</v>
      </c>
      <c r="F323">
        <v>2450</v>
      </c>
      <c r="G323">
        <v>81</v>
      </c>
      <c r="H323" s="2">
        <v>43351</v>
      </c>
      <c r="I323">
        <v>299</v>
      </c>
      <c r="J323" t="s">
        <v>669</v>
      </c>
      <c r="K323" t="s">
        <v>670</v>
      </c>
      <c r="L323" t="s">
        <v>142</v>
      </c>
      <c r="M323" t="s">
        <v>34</v>
      </c>
      <c r="N323" t="s">
        <v>35</v>
      </c>
      <c r="O323" t="s">
        <v>36</v>
      </c>
      <c r="P323">
        <v>47</v>
      </c>
      <c r="Q323">
        <v>24400</v>
      </c>
      <c r="R323">
        <v>1360</v>
      </c>
      <c r="S323">
        <v>750</v>
      </c>
      <c r="T323">
        <v>150</v>
      </c>
      <c r="U323">
        <v>30500</v>
      </c>
      <c r="V323">
        <v>26660</v>
      </c>
      <c r="W323">
        <v>0.14403600900225061</v>
      </c>
      <c r="X323">
        <v>3840</v>
      </c>
      <c r="Y323" t="s">
        <v>126</v>
      </c>
      <c r="Z323" s="2">
        <v>43344</v>
      </c>
      <c r="AA323">
        <v>8</v>
      </c>
      <c r="AB323" t="s">
        <v>468</v>
      </c>
      <c r="AC323" t="s">
        <v>112</v>
      </c>
      <c r="AD323" t="s">
        <v>52</v>
      </c>
      <c r="AE323" t="str">
        <f t="shared" ref="AE323:AE352" si="5">TEXT(H323,"dddd")</f>
        <v>Saturday</v>
      </c>
      <c r="AF323" s="12">
        <f>Table1[[#This Row],[Total Cost]]+Table1[[#This Row],[PROFIT]]</f>
        <v>30500</v>
      </c>
    </row>
    <row r="324" spans="1:32" x14ac:dyDescent="0.3">
      <c r="A324">
        <v>323</v>
      </c>
      <c r="B324">
        <v>300</v>
      </c>
      <c r="C324">
        <v>1</v>
      </c>
      <c r="D324" t="s">
        <v>671</v>
      </c>
      <c r="E324">
        <v>25000</v>
      </c>
      <c r="F324">
        <v>2266.5966386554619</v>
      </c>
      <c r="G324">
        <v>82</v>
      </c>
      <c r="H324" s="2">
        <v>43358</v>
      </c>
      <c r="I324">
        <v>300</v>
      </c>
      <c r="J324" t="s">
        <v>672</v>
      </c>
      <c r="K324" t="s">
        <v>673</v>
      </c>
      <c r="L324" t="s">
        <v>110</v>
      </c>
      <c r="M324" t="s">
        <v>64</v>
      </c>
      <c r="N324" t="s">
        <v>65</v>
      </c>
      <c r="O324" t="s">
        <v>36</v>
      </c>
      <c r="P324">
        <v>66</v>
      </c>
      <c r="Q324">
        <v>20000</v>
      </c>
      <c r="R324">
        <v>1360</v>
      </c>
      <c r="S324">
        <v>457</v>
      </c>
      <c r="T324">
        <v>150</v>
      </c>
      <c r="U324">
        <v>50500</v>
      </c>
      <c r="V324">
        <v>21967</v>
      </c>
      <c r="W324">
        <v>1.298902899804252</v>
      </c>
      <c r="X324">
        <v>28533</v>
      </c>
      <c r="Y324" t="s">
        <v>103</v>
      </c>
      <c r="Z324" s="2">
        <v>43353</v>
      </c>
      <c r="AA324">
        <v>13</v>
      </c>
      <c r="AB324" t="s">
        <v>674</v>
      </c>
      <c r="AC324" t="s">
        <v>373</v>
      </c>
      <c r="AD324" t="s">
        <v>374</v>
      </c>
      <c r="AE324" t="str">
        <f t="shared" si="5"/>
        <v>Saturday</v>
      </c>
      <c r="AF324" s="12">
        <f>Table1[[#This Row],[Total Cost]]+Table1[[#This Row],[PROFIT]]</f>
        <v>50500</v>
      </c>
    </row>
    <row r="325" spans="1:32" x14ac:dyDescent="0.3">
      <c r="A325">
        <v>324</v>
      </c>
      <c r="B325">
        <v>300</v>
      </c>
      <c r="C325">
        <v>2</v>
      </c>
      <c r="D325" t="s">
        <v>675</v>
      </c>
      <c r="E325">
        <v>25500</v>
      </c>
      <c r="F325">
        <v>2266.5966386554619</v>
      </c>
      <c r="G325">
        <v>82</v>
      </c>
      <c r="H325" s="2">
        <v>43358</v>
      </c>
      <c r="I325">
        <v>300</v>
      </c>
      <c r="J325" t="s">
        <v>672</v>
      </c>
      <c r="K325" t="s">
        <v>673</v>
      </c>
      <c r="L325" t="s">
        <v>110</v>
      </c>
      <c r="M325" t="s">
        <v>64</v>
      </c>
      <c r="N325" t="s">
        <v>65</v>
      </c>
      <c r="O325" t="s">
        <v>36</v>
      </c>
      <c r="P325">
        <v>67</v>
      </c>
      <c r="Q325">
        <v>20400</v>
      </c>
      <c r="R325">
        <v>1360</v>
      </c>
      <c r="S325">
        <v>750</v>
      </c>
      <c r="T325">
        <v>150</v>
      </c>
      <c r="U325">
        <v>50500</v>
      </c>
      <c r="V325">
        <v>22660</v>
      </c>
      <c r="W325">
        <v>1.2285966460723741</v>
      </c>
      <c r="X325">
        <v>27840</v>
      </c>
      <c r="Y325" t="s">
        <v>244</v>
      </c>
      <c r="Z325" s="2">
        <v>43353</v>
      </c>
      <c r="AA325">
        <v>14</v>
      </c>
      <c r="AB325" t="s">
        <v>676</v>
      </c>
      <c r="AC325" t="s">
        <v>377</v>
      </c>
      <c r="AD325" t="s">
        <v>374</v>
      </c>
      <c r="AE325" t="str">
        <f t="shared" si="5"/>
        <v>Saturday</v>
      </c>
      <c r="AF325" s="12">
        <f>Table1[[#This Row],[Total Cost]]+Table1[[#This Row],[PROFIT]]</f>
        <v>50500</v>
      </c>
    </row>
    <row r="326" spans="1:32" x14ac:dyDescent="0.3">
      <c r="A326">
        <v>325</v>
      </c>
      <c r="B326">
        <v>301</v>
      </c>
      <c r="C326">
        <v>1</v>
      </c>
      <c r="D326" t="s">
        <v>677</v>
      </c>
      <c r="E326">
        <v>39500</v>
      </c>
      <c r="F326">
        <v>2266.5966386554619</v>
      </c>
      <c r="G326">
        <v>78</v>
      </c>
      <c r="H326" s="2">
        <v>43358</v>
      </c>
      <c r="I326">
        <v>301</v>
      </c>
      <c r="J326" t="s">
        <v>652</v>
      </c>
      <c r="K326" t="s">
        <v>653</v>
      </c>
      <c r="L326" t="s">
        <v>142</v>
      </c>
      <c r="M326" t="s">
        <v>34</v>
      </c>
      <c r="N326" t="s">
        <v>35</v>
      </c>
      <c r="O326" t="s">
        <v>36</v>
      </c>
      <c r="P326">
        <v>68</v>
      </c>
      <c r="Q326">
        <v>31600</v>
      </c>
      <c r="R326">
        <v>970</v>
      </c>
      <c r="S326">
        <v>750</v>
      </c>
      <c r="T326">
        <v>550</v>
      </c>
      <c r="U326">
        <v>39500</v>
      </c>
      <c r="V326">
        <v>33870</v>
      </c>
      <c r="W326">
        <v>0.1662237968703868</v>
      </c>
      <c r="X326">
        <v>5630</v>
      </c>
      <c r="Y326" t="s">
        <v>68</v>
      </c>
      <c r="Z326" s="2">
        <v>43353</v>
      </c>
      <c r="AA326">
        <v>14</v>
      </c>
      <c r="AB326" t="s">
        <v>376</v>
      </c>
      <c r="AC326" t="s">
        <v>377</v>
      </c>
      <c r="AD326" t="s">
        <v>374</v>
      </c>
      <c r="AE326" t="str">
        <f t="shared" si="5"/>
        <v>Saturday</v>
      </c>
      <c r="AF326" s="12">
        <f>Table1[[#This Row],[Total Cost]]+Table1[[#This Row],[PROFIT]]</f>
        <v>39500</v>
      </c>
    </row>
    <row r="327" spans="1:32" x14ac:dyDescent="0.3">
      <c r="A327">
        <v>326</v>
      </c>
      <c r="B327">
        <v>302</v>
      </c>
      <c r="C327">
        <v>1</v>
      </c>
      <c r="D327" t="s">
        <v>678</v>
      </c>
      <c r="E327">
        <v>12500</v>
      </c>
      <c r="F327">
        <v>2266.5966386554619</v>
      </c>
      <c r="G327">
        <v>76</v>
      </c>
      <c r="H327" s="2">
        <v>43358</v>
      </c>
      <c r="I327">
        <v>302</v>
      </c>
      <c r="J327" t="s">
        <v>642</v>
      </c>
      <c r="K327" t="s">
        <v>643</v>
      </c>
      <c r="L327" t="s">
        <v>391</v>
      </c>
      <c r="M327" t="s">
        <v>240</v>
      </c>
      <c r="N327" t="s">
        <v>241</v>
      </c>
      <c r="O327" t="s">
        <v>36</v>
      </c>
      <c r="P327">
        <v>69</v>
      </c>
      <c r="Q327">
        <v>10000</v>
      </c>
      <c r="R327">
        <v>500</v>
      </c>
      <c r="S327">
        <v>457</v>
      </c>
      <c r="T327">
        <v>150</v>
      </c>
      <c r="U327">
        <v>12500</v>
      </c>
      <c r="V327">
        <v>11107</v>
      </c>
      <c r="W327">
        <v>0.1254164040695058</v>
      </c>
      <c r="X327">
        <v>1393</v>
      </c>
      <c r="Y327" t="s">
        <v>168</v>
      </c>
      <c r="Z327" s="2">
        <v>43353</v>
      </c>
      <c r="AA327">
        <v>14</v>
      </c>
      <c r="AB327" t="s">
        <v>679</v>
      </c>
      <c r="AC327" t="s">
        <v>377</v>
      </c>
      <c r="AD327" t="s">
        <v>374</v>
      </c>
      <c r="AE327" t="str">
        <f t="shared" si="5"/>
        <v>Saturday</v>
      </c>
      <c r="AF327" s="12">
        <f>Table1[[#This Row],[Total Cost]]+Table1[[#This Row],[PROFIT]]</f>
        <v>12500</v>
      </c>
    </row>
    <row r="328" spans="1:32" x14ac:dyDescent="0.3">
      <c r="A328">
        <v>327</v>
      </c>
      <c r="B328">
        <v>303</v>
      </c>
      <c r="C328">
        <v>1</v>
      </c>
      <c r="D328" t="s">
        <v>680</v>
      </c>
      <c r="E328">
        <v>1150</v>
      </c>
      <c r="F328">
        <v>1500</v>
      </c>
      <c r="G328">
        <v>69</v>
      </c>
      <c r="H328" s="2">
        <v>43375</v>
      </c>
      <c r="I328">
        <v>303</v>
      </c>
      <c r="J328" t="s">
        <v>612</v>
      </c>
      <c r="K328" t="s">
        <v>613</v>
      </c>
      <c r="L328" t="s">
        <v>95</v>
      </c>
      <c r="M328" t="s">
        <v>34</v>
      </c>
      <c r="N328" t="s">
        <v>35</v>
      </c>
      <c r="O328" t="s">
        <v>36</v>
      </c>
      <c r="P328">
        <v>94</v>
      </c>
      <c r="Q328">
        <v>920</v>
      </c>
      <c r="R328">
        <v>500</v>
      </c>
      <c r="S328">
        <v>750</v>
      </c>
      <c r="T328">
        <v>150</v>
      </c>
      <c r="U328">
        <v>5600</v>
      </c>
      <c r="V328">
        <v>2320</v>
      </c>
      <c r="W328">
        <v>1.413793103448276</v>
      </c>
      <c r="X328">
        <v>3280</v>
      </c>
      <c r="Y328" t="s">
        <v>37</v>
      </c>
      <c r="Z328" s="2">
        <v>43373</v>
      </c>
      <c r="AA328">
        <v>22</v>
      </c>
      <c r="AB328" t="s">
        <v>681</v>
      </c>
      <c r="AC328" t="s">
        <v>594</v>
      </c>
      <c r="AD328" t="s">
        <v>52</v>
      </c>
      <c r="AE328" t="str">
        <f t="shared" si="5"/>
        <v>Tuesday</v>
      </c>
      <c r="AF328" s="12">
        <f>Table1[[#This Row],[Total Cost]]+Table1[[#This Row],[PROFIT]]</f>
        <v>5600</v>
      </c>
    </row>
    <row r="329" spans="1:32" x14ac:dyDescent="0.3">
      <c r="A329">
        <v>328</v>
      </c>
      <c r="B329">
        <v>303</v>
      </c>
      <c r="C329">
        <v>2</v>
      </c>
      <c r="D329" t="s">
        <v>682</v>
      </c>
      <c r="E329">
        <v>1950</v>
      </c>
      <c r="F329">
        <v>2266.5966386554619</v>
      </c>
      <c r="G329">
        <v>69</v>
      </c>
      <c r="H329" s="2">
        <v>43375</v>
      </c>
      <c r="I329">
        <v>303</v>
      </c>
      <c r="J329" t="s">
        <v>612</v>
      </c>
      <c r="K329" t="s">
        <v>613</v>
      </c>
      <c r="L329" t="s">
        <v>95</v>
      </c>
      <c r="M329" t="s">
        <v>34</v>
      </c>
      <c r="N329" t="s">
        <v>35</v>
      </c>
      <c r="O329" t="s">
        <v>36</v>
      </c>
      <c r="P329">
        <v>95</v>
      </c>
      <c r="Q329">
        <v>1560</v>
      </c>
      <c r="R329">
        <v>500</v>
      </c>
      <c r="S329">
        <v>750</v>
      </c>
      <c r="T329">
        <v>150</v>
      </c>
      <c r="U329">
        <v>5600</v>
      </c>
      <c r="V329">
        <v>2960</v>
      </c>
      <c r="W329">
        <v>0.89189189189189189</v>
      </c>
      <c r="X329">
        <v>2640</v>
      </c>
      <c r="Y329" t="s">
        <v>37</v>
      </c>
      <c r="Z329" s="2">
        <v>43374</v>
      </c>
      <c r="AA329">
        <v>22</v>
      </c>
      <c r="AB329" t="s">
        <v>593</v>
      </c>
      <c r="AC329" t="s">
        <v>594</v>
      </c>
      <c r="AD329" t="s">
        <v>52</v>
      </c>
      <c r="AE329" t="str">
        <f t="shared" si="5"/>
        <v>Tuesday</v>
      </c>
      <c r="AF329" s="12">
        <f>Table1[[#This Row],[Total Cost]]+Table1[[#This Row],[PROFIT]]</f>
        <v>5600</v>
      </c>
    </row>
    <row r="330" spans="1:32" x14ac:dyDescent="0.3">
      <c r="A330">
        <v>329</v>
      </c>
      <c r="B330">
        <v>303</v>
      </c>
      <c r="C330">
        <v>3</v>
      </c>
      <c r="D330" t="s">
        <v>683</v>
      </c>
      <c r="E330">
        <v>2500</v>
      </c>
      <c r="F330">
        <v>2266.5966386554619</v>
      </c>
      <c r="G330">
        <v>69</v>
      </c>
      <c r="H330" s="2">
        <v>43375</v>
      </c>
      <c r="I330">
        <v>303</v>
      </c>
      <c r="J330" t="s">
        <v>612</v>
      </c>
      <c r="K330" t="s">
        <v>613</v>
      </c>
      <c r="L330" t="s">
        <v>95</v>
      </c>
      <c r="M330" t="s">
        <v>34</v>
      </c>
      <c r="N330" t="s">
        <v>35</v>
      </c>
      <c r="O330" t="s">
        <v>36</v>
      </c>
      <c r="P330">
        <v>94</v>
      </c>
      <c r="Q330">
        <v>2000</v>
      </c>
      <c r="R330">
        <v>500</v>
      </c>
      <c r="S330">
        <v>750</v>
      </c>
      <c r="T330">
        <v>150</v>
      </c>
      <c r="U330">
        <v>5600</v>
      </c>
      <c r="V330">
        <v>3400</v>
      </c>
      <c r="W330">
        <v>0.64705882352941169</v>
      </c>
      <c r="X330">
        <v>2200</v>
      </c>
      <c r="Y330" t="s">
        <v>44</v>
      </c>
      <c r="Z330" s="2">
        <v>43374</v>
      </c>
      <c r="AA330">
        <v>22</v>
      </c>
      <c r="AB330" t="s">
        <v>681</v>
      </c>
      <c r="AC330" t="s">
        <v>594</v>
      </c>
      <c r="AD330" t="s">
        <v>52</v>
      </c>
      <c r="AE330" t="str">
        <f t="shared" si="5"/>
        <v>Tuesday</v>
      </c>
      <c r="AF330" s="12">
        <f>Table1[[#This Row],[Total Cost]]+Table1[[#This Row],[PROFIT]]</f>
        <v>5600</v>
      </c>
    </row>
    <row r="331" spans="1:32" x14ac:dyDescent="0.3">
      <c r="A331">
        <v>330</v>
      </c>
      <c r="B331">
        <v>304</v>
      </c>
      <c r="C331">
        <v>1</v>
      </c>
      <c r="D331" t="s">
        <v>684</v>
      </c>
      <c r="E331">
        <v>69500</v>
      </c>
      <c r="F331">
        <v>2266.5966386554619</v>
      </c>
      <c r="G331">
        <v>83</v>
      </c>
      <c r="H331" s="2">
        <v>43375</v>
      </c>
      <c r="I331">
        <v>304</v>
      </c>
      <c r="J331" t="s">
        <v>685</v>
      </c>
      <c r="K331" t="s">
        <v>686</v>
      </c>
      <c r="L331" t="s">
        <v>110</v>
      </c>
      <c r="M331" t="s">
        <v>64</v>
      </c>
      <c r="N331" t="s">
        <v>65</v>
      </c>
      <c r="O331" t="s">
        <v>36</v>
      </c>
      <c r="P331">
        <v>23</v>
      </c>
      <c r="Q331">
        <v>55600</v>
      </c>
      <c r="R331">
        <v>2000</v>
      </c>
      <c r="S331">
        <v>457</v>
      </c>
      <c r="T331">
        <v>750</v>
      </c>
      <c r="U331">
        <v>69500</v>
      </c>
      <c r="V331">
        <v>58807</v>
      </c>
      <c r="W331">
        <v>0.18183209481864401</v>
      </c>
      <c r="X331">
        <v>10693</v>
      </c>
      <c r="Y331" t="s">
        <v>44</v>
      </c>
      <c r="Z331" s="2">
        <v>43374</v>
      </c>
      <c r="AA331">
        <v>4</v>
      </c>
      <c r="AB331" t="s">
        <v>74</v>
      </c>
      <c r="AC331" t="s">
        <v>70</v>
      </c>
      <c r="AD331" t="s">
        <v>71</v>
      </c>
      <c r="AE331" t="str">
        <f t="shared" si="5"/>
        <v>Tuesday</v>
      </c>
      <c r="AF331" s="12">
        <f>Table1[[#This Row],[Total Cost]]+Table1[[#This Row],[PROFIT]]</f>
        <v>69500</v>
      </c>
    </row>
    <row r="332" spans="1:32" x14ac:dyDescent="0.3">
      <c r="A332">
        <v>331</v>
      </c>
      <c r="B332">
        <v>305</v>
      </c>
      <c r="C332">
        <v>1</v>
      </c>
      <c r="D332" t="s">
        <v>687</v>
      </c>
      <c r="E332">
        <v>45000</v>
      </c>
      <c r="F332">
        <v>2266.5966386554619</v>
      </c>
      <c r="G332">
        <v>84</v>
      </c>
      <c r="H332" s="2">
        <v>43375</v>
      </c>
      <c r="I332">
        <v>305</v>
      </c>
      <c r="J332" t="s">
        <v>688</v>
      </c>
      <c r="K332" t="s">
        <v>689</v>
      </c>
      <c r="L332" t="s">
        <v>185</v>
      </c>
      <c r="M332" t="s">
        <v>154</v>
      </c>
      <c r="N332" t="s">
        <v>155</v>
      </c>
      <c r="O332" t="s">
        <v>36</v>
      </c>
      <c r="P332">
        <v>25</v>
      </c>
      <c r="Q332">
        <v>36000</v>
      </c>
      <c r="R332">
        <v>500</v>
      </c>
      <c r="S332">
        <v>750</v>
      </c>
      <c r="T332">
        <v>550</v>
      </c>
      <c r="U332">
        <v>45000</v>
      </c>
      <c r="V332">
        <v>37800</v>
      </c>
      <c r="W332">
        <v>0.19047619047619049</v>
      </c>
      <c r="X332">
        <v>7200</v>
      </c>
      <c r="Y332" t="s">
        <v>126</v>
      </c>
      <c r="Z332" s="2">
        <v>43383</v>
      </c>
      <c r="AA332">
        <v>4</v>
      </c>
      <c r="AB332" t="s">
        <v>245</v>
      </c>
      <c r="AC332" t="s">
        <v>70</v>
      </c>
      <c r="AD332" t="s">
        <v>71</v>
      </c>
      <c r="AE332" t="str">
        <f t="shared" si="5"/>
        <v>Tuesday</v>
      </c>
      <c r="AF332" s="12">
        <f>Table1[[#This Row],[Total Cost]]+Table1[[#This Row],[PROFIT]]</f>
        <v>45000</v>
      </c>
    </row>
    <row r="333" spans="1:32" x14ac:dyDescent="0.3">
      <c r="A333">
        <v>332</v>
      </c>
      <c r="B333">
        <v>306</v>
      </c>
      <c r="C333">
        <v>1</v>
      </c>
      <c r="D333" t="s">
        <v>690</v>
      </c>
      <c r="E333">
        <v>56990</v>
      </c>
      <c r="F333">
        <v>2266.5966386554619</v>
      </c>
      <c r="G333">
        <v>65</v>
      </c>
      <c r="H333" s="2">
        <v>43404</v>
      </c>
      <c r="I333">
        <v>306</v>
      </c>
      <c r="J333" t="s">
        <v>585</v>
      </c>
      <c r="K333" t="s">
        <v>586</v>
      </c>
      <c r="L333" t="s">
        <v>88</v>
      </c>
      <c r="M333" t="s">
        <v>89</v>
      </c>
      <c r="N333" t="s">
        <v>90</v>
      </c>
      <c r="O333" t="s">
        <v>91</v>
      </c>
      <c r="P333">
        <v>28</v>
      </c>
      <c r="Q333">
        <v>45592</v>
      </c>
      <c r="R333">
        <v>970</v>
      </c>
      <c r="S333">
        <v>457</v>
      </c>
      <c r="T333">
        <v>550</v>
      </c>
      <c r="U333">
        <v>56990</v>
      </c>
      <c r="V333">
        <v>47569</v>
      </c>
      <c r="W333">
        <v>0.19804914965628881</v>
      </c>
      <c r="X333">
        <v>9421</v>
      </c>
      <c r="Y333" t="s">
        <v>73</v>
      </c>
      <c r="Z333" s="2">
        <v>43383</v>
      </c>
      <c r="AA333">
        <v>4</v>
      </c>
      <c r="AB333" t="s">
        <v>251</v>
      </c>
      <c r="AC333" t="s">
        <v>70</v>
      </c>
      <c r="AD333" t="s">
        <v>71</v>
      </c>
      <c r="AE333" t="str">
        <f t="shared" si="5"/>
        <v>Wednesday</v>
      </c>
      <c r="AF333" s="12">
        <f>Table1[[#This Row],[Total Cost]]+Table1[[#This Row],[PROFIT]]</f>
        <v>56990</v>
      </c>
    </row>
    <row r="334" spans="1:32" x14ac:dyDescent="0.3">
      <c r="A334">
        <v>333</v>
      </c>
      <c r="B334">
        <v>307</v>
      </c>
      <c r="C334">
        <v>1</v>
      </c>
      <c r="D334" t="s">
        <v>691</v>
      </c>
      <c r="E334">
        <v>86500</v>
      </c>
      <c r="F334">
        <v>2450</v>
      </c>
      <c r="G334">
        <v>77</v>
      </c>
      <c r="H334" s="2">
        <v>43404</v>
      </c>
      <c r="I334">
        <v>307</v>
      </c>
      <c r="J334" t="s">
        <v>645</v>
      </c>
      <c r="K334" t="s">
        <v>646</v>
      </c>
      <c r="L334" t="s">
        <v>164</v>
      </c>
      <c r="M334" t="s">
        <v>89</v>
      </c>
      <c r="N334" t="s">
        <v>90</v>
      </c>
      <c r="O334" t="s">
        <v>91</v>
      </c>
      <c r="P334">
        <v>72</v>
      </c>
      <c r="Q334">
        <v>69200</v>
      </c>
      <c r="R334">
        <v>2175</v>
      </c>
      <c r="S334">
        <v>750</v>
      </c>
      <c r="T334">
        <v>750</v>
      </c>
      <c r="U334">
        <v>86500</v>
      </c>
      <c r="V334">
        <v>72875</v>
      </c>
      <c r="W334">
        <v>0.18696397941680959</v>
      </c>
      <c r="X334">
        <v>13625</v>
      </c>
      <c r="Y334" t="s">
        <v>37</v>
      </c>
      <c r="Z334" s="2">
        <v>43402</v>
      </c>
      <c r="AA334">
        <v>16</v>
      </c>
      <c r="AB334" t="s">
        <v>608</v>
      </c>
      <c r="AC334" t="s">
        <v>122</v>
      </c>
      <c r="AD334" t="s">
        <v>71</v>
      </c>
      <c r="AE334" t="str">
        <f t="shared" si="5"/>
        <v>Wednesday</v>
      </c>
      <c r="AF334" s="12">
        <f>Table1[[#This Row],[Total Cost]]+Table1[[#This Row],[PROFIT]]</f>
        <v>86500</v>
      </c>
    </row>
    <row r="335" spans="1:32" x14ac:dyDescent="0.3">
      <c r="A335">
        <v>334</v>
      </c>
      <c r="B335">
        <v>308</v>
      </c>
      <c r="C335">
        <v>1</v>
      </c>
      <c r="D335" t="s">
        <v>692</v>
      </c>
      <c r="E335">
        <v>17850</v>
      </c>
      <c r="F335">
        <v>1250</v>
      </c>
      <c r="G335">
        <v>85</v>
      </c>
      <c r="H335" s="2">
        <v>43404</v>
      </c>
      <c r="I335">
        <v>308</v>
      </c>
      <c r="J335" t="s">
        <v>693</v>
      </c>
      <c r="K335" t="s">
        <v>694</v>
      </c>
      <c r="L335" t="s">
        <v>190</v>
      </c>
      <c r="M335" t="s">
        <v>34</v>
      </c>
      <c r="N335" t="s">
        <v>35</v>
      </c>
      <c r="O335" t="s">
        <v>36</v>
      </c>
      <c r="P335">
        <v>73</v>
      </c>
      <c r="Q335">
        <v>14280</v>
      </c>
      <c r="R335">
        <v>970</v>
      </c>
      <c r="S335">
        <v>750</v>
      </c>
      <c r="T335">
        <v>150</v>
      </c>
      <c r="U335">
        <v>17850</v>
      </c>
      <c r="V335">
        <v>16150</v>
      </c>
      <c r="W335">
        <v>0.10526315789473691</v>
      </c>
      <c r="X335">
        <v>1700</v>
      </c>
      <c r="Y335" t="s">
        <v>73</v>
      </c>
      <c r="Z335" s="2">
        <v>43402</v>
      </c>
      <c r="AA335">
        <v>16</v>
      </c>
      <c r="AB335" t="s">
        <v>291</v>
      </c>
      <c r="AC335" t="s">
        <v>122</v>
      </c>
      <c r="AD335" t="s">
        <v>71</v>
      </c>
      <c r="AE335" t="str">
        <f t="shared" si="5"/>
        <v>Wednesday</v>
      </c>
      <c r="AF335" s="12">
        <f>Table1[[#This Row],[Total Cost]]+Table1[[#This Row],[PROFIT]]</f>
        <v>17850</v>
      </c>
    </row>
    <row r="336" spans="1:32" x14ac:dyDescent="0.3">
      <c r="A336">
        <v>335</v>
      </c>
      <c r="B336">
        <v>309</v>
      </c>
      <c r="C336">
        <v>1</v>
      </c>
      <c r="D336" t="s">
        <v>695</v>
      </c>
      <c r="E336">
        <v>25950</v>
      </c>
      <c r="F336">
        <v>2266.5966386554619</v>
      </c>
      <c r="G336">
        <v>86</v>
      </c>
      <c r="H336" s="2">
        <v>43404</v>
      </c>
      <c r="I336">
        <v>309</v>
      </c>
      <c r="J336" t="s">
        <v>696</v>
      </c>
      <c r="K336" t="s">
        <v>697</v>
      </c>
      <c r="L336" t="s">
        <v>110</v>
      </c>
      <c r="M336" t="s">
        <v>64</v>
      </c>
      <c r="N336" t="s">
        <v>65</v>
      </c>
      <c r="O336" t="s">
        <v>36</v>
      </c>
      <c r="P336">
        <v>71</v>
      </c>
      <c r="Q336">
        <v>20760</v>
      </c>
      <c r="R336">
        <v>1360</v>
      </c>
      <c r="S336">
        <v>457</v>
      </c>
      <c r="T336">
        <v>150</v>
      </c>
      <c r="U336">
        <v>25950</v>
      </c>
      <c r="V336">
        <v>22727</v>
      </c>
      <c r="W336">
        <v>0.14181370176442121</v>
      </c>
      <c r="X336">
        <v>3223</v>
      </c>
      <c r="Y336" t="s">
        <v>73</v>
      </c>
      <c r="Z336" s="2">
        <v>43402</v>
      </c>
      <c r="AA336">
        <v>16</v>
      </c>
      <c r="AB336" t="s">
        <v>606</v>
      </c>
      <c r="AC336" t="s">
        <v>122</v>
      </c>
      <c r="AD336" t="s">
        <v>71</v>
      </c>
      <c r="AE336" t="str">
        <f t="shared" si="5"/>
        <v>Wednesday</v>
      </c>
      <c r="AF336" s="12">
        <f>Table1[[#This Row],[Total Cost]]+Table1[[#This Row],[PROFIT]]</f>
        <v>25950</v>
      </c>
    </row>
    <row r="337" spans="1:32" x14ac:dyDescent="0.3">
      <c r="A337">
        <v>336</v>
      </c>
      <c r="B337">
        <v>310</v>
      </c>
      <c r="C337">
        <v>1</v>
      </c>
      <c r="D337" t="s">
        <v>698</v>
      </c>
      <c r="E337">
        <v>29500</v>
      </c>
      <c r="F337">
        <v>2266.5966386554619</v>
      </c>
      <c r="G337">
        <v>87</v>
      </c>
      <c r="H337" s="2">
        <v>43404</v>
      </c>
      <c r="I337">
        <v>310</v>
      </c>
      <c r="J337" t="s">
        <v>699</v>
      </c>
      <c r="K337" t="s">
        <v>700</v>
      </c>
      <c r="L337" t="s">
        <v>207</v>
      </c>
      <c r="M337" t="s">
        <v>34</v>
      </c>
      <c r="N337" t="s">
        <v>35</v>
      </c>
      <c r="O337" t="s">
        <v>36</v>
      </c>
      <c r="P337">
        <v>75</v>
      </c>
      <c r="Q337">
        <v>23600</v>
      </c>
      <c r="R337">
        <v>660</v>
      </c>
      <c r="S337">
        <v>750</v>
      </c>
      <c r="T337">
        <v>150</v>
      </c>
      <c r="U337">
        <v>29500</v>
      </c>
      <c r="V337">
        <v>25160</v>
      </c>
      <c r="W337">
        <v>0.17249602543720191</v>
      </c>
      <c r="X337">
        <v>4340</v>
      </c>
      <c r="Y337" t="s">
        <v>73</v>
      </c>
      <c r="Z337" s="2">
        <v>43402</v>
      </c>
      <c r="AA337">
        <v>16</v>
      </c>
      <c r="AB337" t="s">
        <v>121</v>
      </c>
      <c r="AC337" t="s">
        <v>122</v>
      </c>
      <c r="AD337" t="s">
        <v>71</v>
      </c>
      <c r="AE337" t="str">
        <f t="shared" si="5"/>
        <v>Wednesday</v>
      </c>
      <c r="AF337" s="12">
        <f>Table1[[#This Row],[Total Cost]]+Table1[[#This Row],[PROFIT]]</f>
        <v>29500</v>
      </c>
    </row>
    <row r="338" spans="1:32" x14ac:dyDescent="0.3">
      <c r="A338">
        <v>337</v>
      </c>
      <c r="B338">
        <v>311</v>
      </c>
      <c r="C338">
        <v>1</v>
      </c>
      <c r="D338" t="s">
        <v>701</v>
      </c>
      <c r="E338">
        <v>59000</v>
      </c>
      <c r="F338">
        <v>4500</v>
      </c>
      <c r="G338">
        <v>5</v>
      </c>
      <c r="H338" s="2">
        <v>43404</v>
      </c>
      <c r="I338">
        <v>311</v>
      </c>
      <c r="J338" t="s">
        <v>61</v>
      </c>
      <c r="K338" t="s">
        <v>62</v>
      </c>
      <c r="L338" t="s">
        <v>63</v>
      </c>
      <c r="M338" t="s">
        <v>64</v>
      </c>
      <c r="N338" t="s">
        <v>65</v>
      </c>
      <c r="O338" t="s">
        <v>36</v>
      </c>
      <c r="P338">
        <v>74</v>
      </c>
      <c r="Q338">
        <v>47200</v>
      </c>
      <c r="R338">
        <v>2000</v>
      </c>
      <c r="S338">
        <v>750</v>
      </c>
      <c r="T338">
        <v>550</v>
      </c>
      <c r="U338">
        <v>59000</v>
      </c>
      <c r="V338">
        <v>50500</v>
      </c>
      <c r="W338">
        <v>0.16831683168316819</v>
      </c>
      <c r="X338">
        <v>8500</v>
      </c>
      <c r="Y338" t="s">
        <v>44</v>
      </c>
      <c r="Z338" s="2">
        <v>43402</v>
      </c>
      <c r="AA338">
        <v>16</v>
      </c>
      <c r="AB338" t="s">
        <v>144</v>
      </c>
      <c r="AC338" t="s">
        <v>122</v>
      </c>
      <c r="AD338" t="s">
        <v>71</v>
      </c>
      <c r="AE338" t="str">
        <f t="shared" si="5"/>
        <v>Wednesday</v>
      </c>
      <c r="AF338" s="12">
        <f>Table1[[#This Row],[Total Cost]]+Table1[[#This Row],[PROFIT]]</f>
        <v>59000</v>
      </c>
    </row>
    <row r="339" spans="1:32" x14ac:dyDescent="0.3">
      <c r="A339">
        <v>338</v>
      </c>
      <c r="B339">
        <v>312</v>
      </c>
      <c r="C339">
        <v>1</v>
      </c>
      <c r="D339" t="s">
        <v>702</v>
      </c>
      <c r="E339">
        <v>9500</v>
      </c>
      <c r="F339">
        <v>2266.5966386554619</v>
      </c>
      <c r="G339">
        <v>65</v>
      </c>
      <c r="H339" s="2">
        <v>43404</v>
      </c>
      <c r="I339">
        <v>312</v>
      </c>
      <c r="J339" t="s">
        <v>585</v>
      </c>
      <c r="K339" t="s">
        <v>586</v>
      </c>
      <c r="L339" t="s">
        <v>88</v>
      </c>
      <c r="M339" t="s">
        <v>89</v>
      </c>
      <c r="N339" t="s">
        <v>90</v>
      </c>
      <c r="O339" t="s">
        <v>91</v>
      </c>
      <c r="P339">
        <v>87</v>
      </c>
      <c r="Q339">
        <v>7600</v>
      </c>
      <c r="R339">
        <v>500</v>
      </c>
      <c r="S339">
        <v>750</v>
      </c>
      <c r="T339">
        <v>150</v>
      </c>
      <c r="U339">
        <v>9500</v>
      </c>
      <c r="V339">
        <v>9000</v>
      </c>
      <c r="W339">
        <v>5.555555555555558E-2</v>
      </c>
      <c r="X339">
        <v>500</v>
      </c>
      <c r="Y339" t="s">
        <v>103</v>
      </c>
      <c r="Z339" s="2">
        <v>43402</v>
      </c>
      <c r="AA339">
        <v>21</v>
      </c>
      <c r="AB339" t="s">
        <v>138</v>
      </c>
      <c r="AC339" t="s">
        <v>134</v>
      </c>
      <c r="AD339" t="s">
        <v>71</v>
      </c>
      <c r="AE339" t="str">
        <f t="shared" si="5"/>
        <v>Wednesday</v>
      </c>
      <c r="AF339" s="12">
        <f>Table1[[#This Row],[Total Cost]]+Table1[[#This Row],[PROFIT]]</f>
        <v>9500</v>
      </c>
    </row>
    <row r="340" spans="1:32" x14ac:dyDescent="0.3">
      <c r="A340">
        <v>339</v>
      </c>
      <c r="B340">
        <v>313</v>
      </c>
      <c r="C340">
        <v>1</v>
      </c>
      <c r="D340" t="s">
        <v>703</v>
      </c>
      <c r="E340">
        <v>8900</v>
      </c>
      <c r="F340">
        <v>2266.5966386554619</v>
      </c>
      <c r="G340">
        <v>35</v>
      </c>
      <c r="H340" s="2">
        <v>43406</v>
      </c>
      <c r="I340">
        <v>313</v>
      </c>
      <c r="J340" t="s">
        <v>270</v>
      </c>
      <c r="K340" t="s">
        <v>271</v>
      </c>
      <c r="L340" t="s">
        <v>84</v>
      </c>
      <c r="M340" t="s">
        <v>64</v>
      </c>
      <c r="N340" t="s">
        <v>65</v>
      </c>
      <c r="O340" t="s">
        <v>36</v>
      </c>
      <c r="P340">
        <v>87</v>
      </c>
      <c r="Q340">
        <v>7120</v>
      </c>
      <c r="R340">
        <v>500</v>
      </c>
      <c r="S340">
        <v>750</v>
      </c>
      <c r="T340">
        <v>150</v>
      </c>
      <c r="U340">
        <v>8900</v>
      </c>
      <c r="V340">
        <v>8520</v>
      </c>
      <c r="W340">
        <v>4.4600938967136239E-2</v>
      </c>
      <c r="X340">
        <v>380</v>
      </c>
      <c r="Y340" t="s">
        <v>49</v>
      </c>
      <c r="Z340" s="2">
        <v>43405</v>
      </c>
      <c r="AA340">
        <v>21</v>
      </c>
      <c r="AB340" t="s">
        <v>138</v>
      </c>
      <c r="AC340" t="s">
        <v>134</v>
      </c>
      <c r="AD340" t="s">
        <v>71</v>
      </c>
      <c r="AE340" t="str">
        <f t="shared" si="5"/>
        <v>Friday</v>
      </c>
      <c r="AF340" s="12">
        <f>Table1[[#This Row],[Total Cost]]+Table1[[#This Row],[PROFIT]]</f>
        <v>8900</v>
      </c>
    </row>
    <row r="341" spans="1:32" x14ac:dyDescent="0.3">
      <c r="A341">
        <v>340</v>
      </c>
      <c r="B341">
        <v>314</v>
      </c>
      <c r="C341">
        <v>1</v>
      </c>
      <c r="D341" t="s">
        <v>704</v>
      </c>
      <c r="E341">
        <v>11590</v>
      </c>
      <c r="F341">
        <v>2266.5966386554619</v>
      </c>
      <c r="G341">
        <v>24</v>
      </c>
      <c r="H341" s="2">
        <v>43419</v>
      </c>
      <c r="I341">
        <v>314</v>
      </c>
      <c r="J341" t="s">
        <v>183</v>
      </c>
      <c r="K341" t="s">
        <v>184</v>
      </c>
      <c r="L341" t="s">
        <v>185</v>
      </c>
      <c r="M341" t="s">
        <v>154</v>
      </c>
      <c r="N341" t="s">
        <v>155</v>
      </c>
      <c r="O341" t="s">
        <v>36</v>
      </c>
      <c r="P341">
        <v>86</v>
      </c>
      <c r="Q341">
        <v>9272</v>
      </c>
      <c r="R341">
        <v>500</v>
      </c>
      <c r="S341">
        <v>250</v>
      </c>
      <c r="T341">
        <v>150</v>
      </c>
      <c r="U341">
        <v>11590</v>
      </c>
      <c r="V341">
        <v>10172</v>
      </c>
      <c r="W341">
        <v>0.1394022807707431</v>
      </c>
      <c r="X341">
        <v>1418</v>
      </c>
      <c r="Y341" t="s">
        <v>73</v>
      </c>
      <c r="Z341" s="2">
        <v>43405</v>
      </c>
      <c r="AA341">
        <v>21</v>
      </c>
      <c r="AB341" t="s">
        <v>133</v>
      </c>
      <c r="AC341" t="s">
        <v>134</v>
      </c>
      <c r="AD341" t="s">
        <v>71</v>
      </c>
      <c r="AE341" t="str">
        <f t="shared" si="5"/>
        <v>Thursday</v>
      </c>
      <c r="AF341" s="12">
        <f>Table1[[#This Row],[Total Cost]]+Table1[[#This Row],[PROFIT]]</f>
        <v>11590</v>
      </c>
    </row>
    <row r="342" spans="1:32" x14ac:dyDescent="0.3">
      <c r="A342">
        <v>341</v>
      </c>
      <c r="B342">
        <v>315</v>
      </c>
      <c r="C342">
        <v>1</v>
      </c>
      <c r="D342" t="s">
        <v>705</v>
      </c>
      <c r="E342">
        <v>8500</v>
      </c>
      <c r="F342">
        <v>2266.5966386554619</v>
      </c>
      <c r="G342">
        <v>19</v>
      </c>
      <c r="H342" s="2">
        <v>43426</v>
      </c>
      <c r="I342">
        <v>315</v>
      </c>
      <c r="J342" t="s">
        <v>140</v>
      </c>
      <c r="K342" t="s">
        <v>141</v>
      </c>
      <c r="L342" t="s">
        <v>142</v>
      </c>
      <c r="M342" t="s">
        <v>34</v>
      </c>
      <c r="N342" t="s">
        <v>35</v>
      </c>
      <c r="O342" t="s">
        <v>36</v>
      </c>
      <c r="P342">
        <v>86</v>
      </c>
      <c r="Q342">
        <v>6800</v>
      </c>
      <c r="R342">
        <v>500</v>
      </c>
      <c r="S342">
        <v>750</v>
      </c>
      <c r="T342">
        <v>150</v>
      </c>
      <c r="U342">
        <v>8500</v>
      </c>
      <c r="V342">
        <v>8200</v>
      </c>
      <c r="W342">
        <v>3.6585365853658569E-2</v>
      </c>
      <c r="X342">
        <v>300</v>
      </c>
      <c r="Y342" t="s">
        <v>37</v>
      </c>
      <c r="Z342" s="2">
        <v>43405</v>
      </c>
      <c r="AA342">
        <v>21</v>
      </c>
      <c r="AB342" t="s">
        <v>133</v>
      </c>
      <c r="AC342" t="s">
        <v>134</v>
      </c>
      <c r="AD342" t="s">
        <v>71</v>
      </c>
      <c r="AE342" t="str">
        <f t="shared" si="5"/>
        <v>Thursday</v>
      </c>
      <c r="AF342" s="12">
        <f>Table1[[#This Row],[Total Cost]]+Table1[[#This Row],[PROFIT]]</f>
        <v>8500</v>
      </c>
    </row>
    <row r="343" spans="1:32" x14ac:dyDescent="0.3">
      <c r="A343">
        <v>342</v>
      </c>
      <c r="B343">
        <v>316</v>
      </c>
      <c r="C343">
        <v>1</v>
      </c>
      <c r="D343" t="s">
        <v>706</v>
      </c>
      <c r="E343">
        <v>59500</v>
      </c>
      <c r="F343">
        <v>2266.5966386554619</v>
      </c>
      <c r="G343">
        <v>20</v>
      </c>
      <c r="H343" s="2">
        <v>43439</v>
      </c>
      <c r="I343">
        <v>316</v>
      </c>
      <c r="J343" t="s">
        <v>162</v>
      </c>
      <c r="K343" t="s">
        <v>163</v>
      </c>
      <c r="L343" t="s">
        <v>164</v>
      </c>
      <c r="M343" t="s">
        <v>89</v>
      </c>
      <c r="N343" t="s">
        <v>90</v>
      </c>
      <c r="O343" t="s">
        <v>91</v>
      </c>
      <c r="P343">
        <v>25</v>
      </c>
      <c r="Q343">
        <v>47600</v>
      </c>
      <c r="R343">
        <v>500</v>
      </c>
      <c r="S343">
        <v>500</v>
      </c>
      <c r="T343">
        <v>550</v>
      </c>
      <c r="U343">
        <v>59500</v>
      </c>
      <c r="V343">
        <v>49150</v>
      </c>
      <c r="W343">
        <v>0.21057985757884021</v>
      </c>
      <c r="X343">
        <v>10350</v>
      </c>
      <c r="Y343" t="s">
        <v>73</v>
      </c>
      <c r="Z343" s="2">
        <v>43435</v>
      </c>
      <c r="AA343">
        <v>4</v>
      </c>
      <c r="AB343" t="s">
        <v>245</v>
      </c>
      <c r="AC343" t="s">
        <v>70</v>
      </c>
      <c r="AD343" t="s">
        <v>71</v>
      </c>
      <c r="AE343" t="str">
        <f t="shared" si="5"/>
        <v>Wednesday</v>
      </c>
      <c r="AF343" s="12">
        <f>Table1[[#This Row],[Total Cost]]+Table1[[#This Row],[PROFIT]]</f>
        <v>59500</v>
      </c>
    </row>
    <row r="344" spans="1:32" x14ac:dyDescent="0.3">
      <c r="A344">
        <v>343</v>
      </c>
      <c r="B344">
        <v>317</v>
      </c>
      <c r="C344">
        <v>1</v>
      </c>
      <c r="D344" t="s">
        <v>707</v>
      </c>
      <c r="E344">
        <v>123500</v>
      </c>
      <c r="F344">
        <v>3500</v>
      </c>
      <c r="G344">
        <v>40</v>
      </c>
      <c r="H344" s="2">
        <v>43439</v>
      </c>
      <c r="I344">
        <v>317</v>
      </c>
      <c r="J344" t="s">
        <v>312</v>
      </c>
      <c r="K344" t="s">
        <v>313</v>
      </c>
      <c r="L344" t="s">
        <v>239</v>
      </c>
      <c r="M344" t="s">
        <v>240</v>
      </c>
      <c r="N344" t="s">
        <v>241</v>
      </c>
      <c r="O344" t="s">
        <v>36</v>
      </c>
      <c r="P344">
        <v>26</v>
      </c>
      <c r="Q344">
        <v>98800</v>
      </c>
      <c r="R344">
        <v>2000</v>
      </c>
      <c r="S344">
        <v>3150</v>
      </c>
      <c r="T344">
        <v>750</v>
      </c>
      <c r="U344">
        <v>123500</v>
      </c>
      <c r="V344">
        <v>104700</v>
      </c>
      <c r="W344">
        <v>0.1795606494746895</v>
      </c>
      <c r="X344">
        <v>18800</v>
      </c>
      <c r="Y344" t="s">
        <v>73</v>
      </c>
      <c r="Z344" s="2">
        <v>43435</v>
      </c>
      <c r="AA344">
        <v>4</v>
      </c>
      <c r="AB344" t="s">
        <v>147</v>
      </c>
      <c r="AC344" t="s">
        <v>70</v>
      </c>
      <c r="AD344" t="s">
        <v>71</v>
      </c>
      <c r="AE344" t="str">
        <f t="shared" si="5"/>
        <v>Wednesday</v>
      </c>
      <c r="AF344" s="12">
        <f>Table1[[#This Row],[Total Cost]]+Table1[[#This Row],[PROFIT]]</f>
        <v>123500</v>
      </c>
    </row>
    <row r="345" spans="1:32" x14ac:dyDescent="0.3">
      <c r="A345">
        <v>344</v>
      </c>
      <c r="B345">
        <v>318</v>
      </c>
      <c r="C345">
        <v>1</v>
      </c>
      <c r="D345" t="s">
        <v>708</v>
      </c>
      <c r="E345">
        <v>99500</v>
      </c>
      <c r="F345">
        <v>2266.5966386554619</v>
      </c>
      <c r="G345">
        <v>60</v>
      </c>
      <c r="H345" s="2">
        <v>43442</v>
      </c>
      <c r="I345">
        <v>318</v>
      </c>
      <c r="J345" t="s">
        <v>543</v>
      </c>
      <c r="K345" t="s">
        <v>544</v>
      </c>
      <c r="L345" t="s">
        <v>33</v>
      </c>
      <c r="M345" t="s">
        <v>34</v>
      </c>
      <c r="N345" t="s">
        <v>35</v>
      </c>
      <c r="O345" t="s">
        <v>36</v>
      </c>
      <c r="P345">
        <v>25</v>
      </c>
      <c r="Q345">
        <v>79600</v>
      </c>
      <c r="R345">
        <v>1490</v>
      </c>
      <c r="S345">
        <v>750</v>
      </c>
      <c r="T345">
        <v>750</v>
      </c>
      <c r="U345">
        <v>99500</v>
      </c>
      <c r="V345">
        <v>82590</v>
      </c>
      <c r="W345">
        <v>0.2047463373289744</v>
      </c>
      <c r="X345">
        <v>16910</v>
      </c>
      <c r="Y345" t="s">
        <v>68</v>
      </c>
      <c r="Z345" s="2">
        <v>43439</v>
      </c>
      <c r="AA345">
        <v>4</v>
      </c>
      <c r="AB345" t="s">
        <v>245</v>
      </c>
      <c r="AC345" t="s">
        <v>70</v>
      </c>
      <c r="AD345" t="s">
        <v>71</v>
      </c>
      <c r="AE345" t="str">
        <f t="shared" si="5"/>
        <v>Saturday</v>
      </c>
      <c r="AF345" s="12">
        <f>Table1[[#This Row],[Total Cost]]+Table1[[#This Row],[PROFIT]]</f>
        <v>99500</v>
      </c>
    </row>
    <row r="346" spans="1:32" x14ac:dyDescent="0.3">
      <c r="A346">
        <v>345</v>
      </c>
      <c r="B346">
        <v>319</v>
      </c>
      <c r="C346">
        <v>1</v>
      </c>
      <c r="D346" t="s">
        <v>709</v>
      </c>
      <c r="E346">
        <v>54500</v>
      </c>
      <c r="F346">
        <v>2266.5966386554619</v>
      </c>
      <c r="G346">
        <v>59</v>
      </c>
      <c r="H346" s="2">
        <v>43442</v>
      </c>
      <c r="I346">
        <v>319</v>
      </c>
      <c r="J346" t="s">
        <v>540</v>
      </c>
      <c r="K346" t="s">
        <v>541</v>
      </c>
      <c r="L346" t="s">
        <v>33</v>
      </c>
      <c r="M346" t="s">
        <v>34</v>
      </c>
      <c r="N346" t="s">
        <v>35</v>
      </c>
      <c r="O346" t="s">
        <v>36</v>
      </c>
      <c r="P346">
        <v>24</v>
      </c>
      <c r="Q346">
        <v>43600</v>
      </c>
      <c r="R346">
        <v>970</v>
      </c>
      <c r="S346">
        <v>289</v>
      </c>
      <c r="T346">
        <v>550</v>
      </c>
      <c r="U346">
        <v>56090</v>
      </c>
      <c r="V346">
        <v>45409</v>
      </c>
      <c r="W346">
        <v>0.23521768812349969</v>
      </c>
      <c r="X346">
        <v>10681</v>
      </c>
      <c r="Y346" t="s">
        <v>73</v>
      </c>
      <c r="Z346" s="2">
        <v>43441</v>
      </c>
      <c r="AA346">
        <v>4</v>
      </c>
      <c r="AB346" t="s">
        <v>80</v>
      </c>
      <c r="AC346" t="s">
        <v>70</v>
      </c>
      <c r="AD346" t="s">
        <v>71</v>
      </c>
      <c r="AE346" t="str">
        <f t="shared" si="5"/>
        <v>Saturday</v>
      </c>
      <c r="AF346" s="12">
        <f>Table1[[#This Row],[Total Cost]]+Table1[[#This Row],[PROFIT]]</f>
        <v>56090</v>
      </c>
    </row>
    <row r="347" spans="1:32" x14ac:dyDescent="0.3">
      <c r="A347">
        <v>346</v>
      </c>
      <c r="B347">
        <v>319</v>
      </c>
      <c r="C347">
        <v>2</v>
      </c>
      <c r="D347" t="s">
        <v>710</v>
      </c>
      <c r="E347">
        <v>1590</v>
      </c>
      <c r="F347">
        <v>2266.5966386554619</v>
      </c>
      <c r="G347">
        <v>59</v>
      </c>
      <c r="H347" s="2">
        <v>43442</v>
      </c>
      <c r="I347">
        <v>319</v>
      </c>
      <c r="J347" t="s">
        <v>540</v>
      </c>
      <c r="K347" t="s">
        <v>541</v>
      </c>
      <c r="L347" t="s">
        <v>33</v>
      </c>
      <c r="M347" t="s">
        <v>34</v>
      </c>
      <c r="N347" t="s">
        <v>35</v>
      </c>
      <c r="O347" t="s">
        <v>36</v>
      </c>
      <c r="P347">
        <v>95</v>
      </c>
      <c r="Q347">
        <v>1272</v>
      </c>
      <c r="R347">
        <v>500</v>
      </c>
      <c r="S347">
        <v>750</v>
      </c>
      <c r="T347">
        <v>150</v>
      </c>
      <c r="U347">
        <v>56090</v>
      </c>
      <c r="V347">
        <v>2672</v>
      </c>
      <c r="W347">
        <v>19.991766467065869</v>
      </c>
      <c r="X347">
        <v>53418</v>
      </c>
      <c r="Y347" t="s">
        <v>73</v>
      </c>
      <c r="Z347" s="2">
        <v>43441</v>
      </c>
      <c r="AA347">
        <v>22</v>
      </c>
      <c r="AB347" t="s">
        <v>593</v>
      </c>
      <c r="AC347" t="s">
        <v>594</v>
      </c>
      <c r="AD347" t="s">
        <v>52</v>
      </c>
      <c r="AE347" t="str">
        <f t="shared" si="5"/>
        <v>Saturday</v>
      </c>
      <c r="AF347" s="12">
        <f>Table1[[#This Row],[Total Cost]]+Table1[[#This Row],[PROFIT]]</f>
        <v>56090</v>
      </c>
    </row>
    <row r="348" spans="1:32" x14ac:dyDescent="0.3">
      <c r="A348">
        <v>347</v>
      </c>
      <c r="B348">
        <v>320</v>
      </c>
      <c r="C348">
        <v>1</v>
      </c>
      <c r="D348" t="s">
        <v>711</v>
      </c>
      <c r="E348">
        <v>11500</v>
      </c>
      <c r="F348">
        <v>2266.5966386554619</v>
      </c>
      <c r="G348">
        <v>48</v>
      </c>
      <c r="H348" s="2">
        <v>43450</v>
      </c>
      <c r="I348">
        <v>320</v>
      </c>
      <c r="J348" t="s">
        <v>442</v>
      </c>
      <c r="K348" t="s">
        <v>443</v>
      </c>
      <c r="L348" t="s">
        <v>395</v>
      </c>
      <c r="M348" t="s">
        <v>234</v>
      </c>
      <c r="N348" t="s">
        <v>235</v>
      </c>
      <c r="O348" t="s">
        <v>36</v>
      </c>
      <c r="P348">
        <v>87</v>
      </c>
      <c r="Q348">
        <v>9200</v>
      </c>
      <c r="R348">
        <v>500</v>
      </c>
      <c r="S348">
        <v>750</v>
      </c>
      <c r="T348">
        <v>150</v>
      </c>
      <c r="U348">
        <v>11500</v>
      </c>
      <c r="V348">
        <v>10600</v>
      </c>
      <c r="W348">
        <v>8.4905660377358583E-2</v>
      </c>
      <c r="X348">
        <v>900</v>
      </c>
      <c r="Y348" t="s">
        <v>73</v>
      </c>
      <c r="Z348" s="2">
        <v>43449</v>
      </c>
      <c r="AA348">
        <v>21</v>
      </c>
      <c r="AB348" t="s">
        <v>138</v>
      </c>
      <c r="AC348" t="s">
        <v>134</v>
      </c>
      <c r="AD348" t="s">
        <v>71</v>
      </c>
      <c r="AE348" t="str">
        <f t="shared" si="5"/>
        <v>Sunday</v>
      </c>
      <c r="AF348" s="12">
        <f>Table1[[#This Row],[Total Cost]]+Table1[[#This Row],[PROFIT]]</f>
        <v>11500</v>
      </c>
    </row>
    <row r="349" spans="1:32" x14ac:dyDescent="0.3">
      <c r="A349">
        <v>348</v>
      </c>
      <c r="B349">
        <v>321</v>
      </c>
      <c r="C349">
        <v>1</v>
      </c>
      <c r="D349" t="s">
        <v>712</v>
      </c>
      <c r="E349">
        <v>17950</v>
      </c>
      <c r="F349">
        <v>1500</v>
      </c>
      <c r="G349">
        <v>36</v>
      </c>
      <c r="H349" s="2">
        <v>43451</v>
      </c>
      <c r="I349">
        <v>321</v>
      </c>
      <c r="J349" t="s">
        <v>273</v>
      </c>
      <c r="K349" t="s">
        <v>274</v>
      </c>
      <c r="L349" t="s">
        <v>88</v>
      </c>
      <c r="M349" t="s">
        <v>89</v>
      </c>
      <c r="N349" t="s">
        <v>90</v>
      </c>
      <c r="O349" t="s">
        <v>91</v>
      </c>
      <c r="P349">
        <v>54</v>
      </c>
      <c r="Q349">
        <v>14360</v>
      </c>
      <c r="R349">
        <v>2000</v>
      </c>
      <c r="S349">
        <v>1050</v>
      </c>
      <c r="T349">
        <v>150</v>
      </c>
      <c r="U349">
        <v>17950</v>
      </c>
      <c r="V349">
        <v>17560</v>
      </c>
      <c r="W349">
        <v>2.2209567198177679E-2</v>
      </c>
      <c r="X349">
        <v>390</v>
      </c>
      <c r="Y349" t="s">
        <v>68</v>
      </c>
      <c r="Z349" s="2">
        <v>43450</v>
      </c>
      <c r="AA349">
        <v>9</v>
      </c>
      <c r="AB349" t="s">
        <v>348</v>
      </c>
      <c r="AC349" t="s">
        <v>117</v>
      </c>
      <c r="AD349" t="s">
        <v>40</v>
      </c>
      <c r="AE349" t="str">
        <f t="shared" si="5"/>
        <v>Monday</v>
      </c>
      <c r="AF349" s="12">
        <f>Table1[[#This Row],[Total Cost]]+Table1[[#This Row],[PROFIT]]</f>
        <v>17950</v>
      </c>
    </row>
    <row r="350" spans="1:32" x14ac:dyDescent="0.3">
      <c r="A350">
        <v>349</v>
      </c>
      <c r="B350">
        <v>322</v>
      </c>
      <c r="C350">
        <v>1</v>
      </c>
      <c r="D350" t="s">
        <v>713</v>
      </c>
      <c r="E350">
        <v>5500</v>
      </c>
      <c r="F350">
        <v>2266.5966386554619</v>
      </c>
      <c r="G350">
        <v>35</v>
      </c>
      <c r="H350" s="2">
        <v>43465</v>
      </c>
      <c r="I350">
        <v>322</v>
      </c>
      <c r="J350" t="s">
        <v>270</v>
      </c>
      <c r="K350" t="s">
        <v>271</v>
      </c>
      <c r="L350" t="s">
        <v>84</v>
      </c>
      <c r="M350" t="s">
        <v>64</v>
      </c>
      <c r="N350" t="s">
        <v>65</v>
      </c>
      <c r="O350" t="s">
        <v>36</v>
      </c>
      <c r="P350">
        <v>65</v>
      </c>
      <c r="Q350">
        <v>4400</v>
      </c>
      <c r="R350">
        <v>500</v>
      </c>
      <c r="S350">
        <v>750</v>
      </c>
      <c r="T350">
        <v>150</v>
      </c>
      <c r="U350">
        <v>5500</v>
      </c>
      <c r="V350">
        <v>5800</v>
      </c>
      <c r="W350">
        <v>-5.1724137931034482E-2</v>
      </c>
      <c r="X350">
        <v>-300</v>
      </c>
      <c r="Y350" t="s">
        <v>73</v>
      </c>
      <c r="Z350" s="2">
        <v>43465</v>
      </c>
      <c r="AA350">
        <v>13</v>
      </c>
      <c r="AB350" t="s">
        <v>372</v>
      </c>
      <c r="AC350" t="s">
        <v>373</v>
      </c>
      <c r="AD350" t="s">
        <v>374</v>
      </c>
      <c r="AE350" t="str">
        <f t="shared" si="5"/>
        <v>Monday</v>
      </c>
      <c r="AF350" s="12">
        <f>Table1[[#This Row],[Total Cost]]+Table1[[#This Row],[PROFIT]]</f>
        <v>5500</v>
      </c>
    </row>
    <row r="351" spans="1:32" x14ac:dyDescent="0.3">
      <c r="A351">
        <v>350</v>
      </c>
      <c r="B351">
        <v>323</v>
      </c>
      <c r="C351">
        <v>1</v>
      </c>
      <c r="D351" t="s">
        <v>714</v>
      </c>
      <c r="E351">
        <v>950</v>
      </c>
      <c r="F351">
        <v>2266.5966386554619</v>
      </c>
      <c r="G351">
        <v>30</v>
      </c>
      <c r="H351" s="2">
        <v>43465</v>
      </c>
      <c r="I351">
        <v>323</v>
      </c>
      <c r="J351" t="s">
        <v>221</v>
      </c>
      <c r="K351" t="s">
        <v>222</v>
      </c>
      <c r="L351" t="s">
        <v>78</v>
      </c>
      <c r="M351" t="s">
        <v>34</v>
      </c>
      <c r="N351" t="s">
        <v>35</v>
      </c>
      <c r="O351" t="s">
        <v>36</v>
      </c>
      <c r="P351">
        <v>100</v>
      </c>
      <c r="Q351">
        <v>760</v>
      </c>
      <c r="R351">
        <v>500</v>
      </c>
      <c r="S351">
        <v>750</v>
      </c>
      <c r="T351">
        <v>150</v>
      </c>
      <c r="U351">
        <v>950</v>
      </c>
      <c r="V351">
        <v>2160</v>
      </c>
      <c r="W351">
        <v>-0.56018518518518512</v>
      </c>
      <c r="X351">
        <v>-1210</v>
      </c>
      <c r="Y351" t="s">
        <v>73</v>
      </c>
      <c r="Z351" s="2">
        <v>43465</v>
      </c>
      <c r="AA351">
        <v>24</v>
      </c>
      <c r="AB351" t="s">
        <v>411</v>
      </c>
      <c r="AC351" t="s">
        <v>412</v>
      </c>
      <c r="AD351" t="s">
        <v>374</v>
      </c>
      <c r="AE351" t="str">
        <f t="shared" si="5"/>
        <v>Monday</v>
      </c>
      <c r="AF351" s="12">
        <f>Table1[[#This Row],[Total Cost]]+Table1[[#This Row],[PROFIT]]</f>
        <v>950</v>
      </c>
    </row>
    <row r="352" spans="1:32" x14ac:dyDescent="0.3">
      <c r="A352">
        <v>351</v>
      </c>
      <c r="B352">
        <v>324</v>
      </c>
      <c r="C352">
        <v>1</v>
      </c>
      <c r="D352" t="s">
        <v>715</v>
      </c>
      <c r="E352">
        <v>145000</v>
      </c>
      <c r="F352">
        <v>5000</v>
      </c>
      <c r="G352">
        <v>87</v>
      </c>
      <c r="H352" s="2">
        <v>43465</v>
      </c>
      <c r="I352">
        <v>324</v>
      </c>
      <c r="J352" t="s">
        <v>699</v>
      </c>
      <c r="K352" t="s">
        <v>700</v>
      </c>
      <c r="L352" t="s">
        <v>207</v>
      </c>
      <c r="M352" t="s">
        <v>34</v>
      </c>
      <c r="N352" t="s">
        <v>35</v>
      </c>
      <c r="O352" t="s">
        <v>36</v>
      </c>
      <c r="P352">
        <v>1</v>
      </c>
      <c r="Q352">
        <v>116000</v>
      </c>
      <c r="R352">
        <v>3950</v>
      </c>
      <c r="S352">
        <v>958.14857142857147</v>
      </c>
      <c r="T352">
        <v>1950</v>
      </c>
      <c r="U352">
        <v>145000</v>
      </c>
      <c r="V352">
        <v>121900</v>
      </c>
      <c r="W352">
        <v>0.1894995898277276</v>
      </c>
      <c r="X352">
        <v>23100</v>
      </c>
      <c r="Y352" t="s">
        <v>73</v>
      </c>
      <c r="Z352" s="2">
        <v>43465</v>
      </c>
      <c r="AA352">
        <v>1</v>
      </c>
      <c r="AB352" t="s">
        <v>551</v>
      </c>
      <c r="AC352" t="s">
        <v>39</v>
      </c>
      <c r="AD352" t="s">
        <v>40</v>
      </c>
      <c r="AE352" t="str">
        <f t="shared" si="5"/>
        <v>Monday</v>
      </c>
      <c r="AF352" s="12">
        <f>Table1[[#This Row],[Total Cost]]+Table1[[#This Row],[PROFIT]]</f>
        <v>145000</v>
      </c>
    </row>
  </sheetData>
  <pageMargins left="0.75" right="0.75" top="1" bottom="1" header="0.5" footer="0.5"/>
  <pageSetup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total sale by date</vt:lpstr>
      <vt:lpstr>region by sales</vt:lpstr>
      <vt:lpstr>top 5 by profit</vt:lpstr>
      <vt:lpstr>profit by country</vt:lpstr>
      <vt:lpstr>top 5by cost</vt:lpstr>
      <vt:lpstr>DASHBOARD</vt:lpstr>
      <vt:lpstr>Sheet9</vt:lpstr>
      <vt:lpstr>Sheet3</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hp</cp:lastModifiedBy>
  <dcterms:created xsi:type="dcterms:W3CDTF">2026-02-16T16:58:05Z</dcterms:created>
  <dcterms:modified xsi:type="dcterms:W3CDTF">2026-02-17T20:09:29Z</dcterms:modified>
</cp:coreProperties>
</file>